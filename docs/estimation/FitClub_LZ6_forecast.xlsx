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6b3eadb3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Қорытынды" sheetId="1" r:id="R382439c1bee24f7f"/>
    <x:sheet xmlns:r="http://schemas.openxmlformats.org/officeDocument/2006/relationships" name="Throughput" sheetId="2" r:id="R7305fcd89607429d"/>
    <x:sheet xmlns:r="http://schemas.openxmlformats.org/officeDocument/2006/relationships" name="Симуляция" sheetId="3" r:id="R644cea5f1a2b4064"/>
    <x:sheet xmlns:r="http://schemas.openxmlformats.org/officeDocument/2006/relationships" name="Покер" sheetId="4" r:id="R5f18ec908fe84cc4"/>
    <x:sheet xmlns:r="http://schemas.openxmlformats.org/officeDocument/2006/relationships" name="Допущения" sheetId="5" r:id="Re1b35090b9b5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%"/>
  </x:numFmts>
  <x:fonts count="10">
    <x:font>
      <x:sz val="11"/>
      <x:name val="Carlito"/>
    </x:font>
    <x:font>
      <x:b/>
      <x:sz val="20"/>
      <x:color rgb="FFFFFFFF"/>
      <x:name val="Arial"/>
    </x:font>
    <x:font>
      <x:sz val="10"/>
      <x:color rgb="FF172B3A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sz val="11"/>
      <x:color rgb="FF172B3A"/>
      <x:name val="Arial"/>
    </x:font>
    <x:font>
      <x:i/>
      <x:sz val="10"/>
      <x:color rgb="FF172B3A"/>
      <x:name val="Arial"/>
    </x:font>
    <x:font>
      <x:sz val="11"/>
      <x:name val="Arial"/>
    </x:font>
    <x:font>
      <x:b/>
      <x:sz val="10"/>
      <x:color rgb="FF172B3A"/>
      <x:name val="Arial"/>
    </x:font>
    <x:font>
      <x:b/>
      <x:sz val="10"/>
      <x:color rgb="FF8A252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3F7"/>
      </x:patternFill>
    </x:fill>
    <x:fill>
      <x:patternFill patternType="solid">
        <x:fgColor rgb="FF167D9A"/>
      </x:patternFill>
    </x:fill>
    <x:fill>
      <x:patternFill patternType="solid">
        <x:fgColor rgb="FFFFF4D6"/>
      </x:patternFill>
    </x:fill>
    <x:fill>
      <x:patternFill patternType="solid">
        <x:fgColor rgb="FFF59E0B"/>
      </x:patternFill>
    </x:fill>
    <x:fill>
      <x:patternFill patternType="solid">
        <x:fgColor rgb="FFFFF9E9"/>
      </x:patternFill>
    </x:fill>
    <x:fill>
      <x:patternFill patternType="solid">
        <x:fgColor rgb="FFFDE8E7"/>
      </x:patternFill>
    </x:fill>
  </x:fills>
  <x:borders count="3">
    <x:border/>
    <x:border>
      <x:left style="thin">
        <x:color rgb="FFCED9DF"/>
      </x:left>
      <x:right style="thin">
        <x:color rgb="FFCED9DF"/>
      </x:right>
      <x:top style="thin">
        <x:color rgb="FFCED9DF"/>
      </x:top>
      <x:bottom style="thin">
        <x:color rgb="FFCED9DF"/>
      </x:bottom>
    </x:border>
    <x:border>
      <x:left style="medium">
        <x:color rgb="FFF59E0B"/>
      </x:left>
      <x:right style="medium">
        <x:color rgb="FFF59E0B"/>
      </x:right>
      <x:top style="medium">
        <x:color rgb="FFF59E0B"/>
      </x:top>
      <x:bottom style="medium">
        <x:color rgb="FFF59E0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2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9b867fd3a4de1" /><Relationship Type="http://schemas.openxmlformats.org/officeDocument/2006/relationships/theme" Target="/xl/theme/theme1.xml" Id="Re5a324e0e547418e" /><Relationship Type="http://schemas.openxmlformats.org/officeDocument/2006/relationships/sharedStrings" Target="/xl/sharedStrings.xml" Id="Rf50f3578ed5847a2" /><Relationship Type="http://schemas.openxmlformats.org/officeDocument/2006/relationships/worksheet" Target="/xl/worksheets/sheet1.xml" Id="R382439c1bee24f7f" /><Relationship Type="http://schemas.openxmlformats.org/officeDocument/2006/relationships/worksheet" Target="/xl/worksheets/sheet2.xml" Id="R7305fcd89607429d" /><Relationship Type="http://schemas.openxmlformats.org/officeDocument/2006/relationships/worksheet" Target="/xl/worksheets/sheet3.xml" Id="R644cea5f1a2b4064" /><Relationship Type="http://schemas.openxmlformats.org/officeDocument/2006/relationships/worksheet" Target="/xl/worksheets/sheet4.xml" Id="R5f18ec908fe84cc4" /><Relationship Type="http://schemas.openxmlformats.org/officeDocument/2006/relationships/worksheet" Target="/xl/worksheets/sheet5.xml" Id="Re1b35090b9b547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a3860e0f894556" /><Relationship Type="http://schemas.openxmlformats.org/officeDocument/2006/relationships/chart" Target="/xl/drawings/charts/chart2.xml" Id="Rd5253b9be3364f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Аяқталу аптасының таралуы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Ықтималдық</c:v>
          </c:tx>
          <c:cat>
            <c:strRef>
              <c:f>'Симуляция'!$A$5:$A$9</c:f>
              <c:strCache>
                <c:ptCount val="0"/>
              </c:strCache>
            </c:strRef>
          </c:cat>
          <c:val>
            <c:numRef>
              <c:f>'Симуляция'!$C$5:$C$9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Жинақталған ықтималдық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Жинақталған</c:v>
          </c:tx>
          <c:marker>
            <c:symbol val="none"/>
          </c:marker>
          <c:cat>
            <c:strRef>
              <c:f>'Симуляция'!$A$5:$A$9</c:f>
              <c:strCache>
                <c:ptCount val="0"/>
              </c:strCache>
            </c:strRef>
          </c:cat>
          <c:val>
            <c:numRef>
              <c:f>'Симуляция'!$D$5:$D$9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a3860e0f894556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253b9be3364f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dd6b4b96ede4b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3" hidden="0" customWidth="1"/>
    <x:col min="4" max="4" width="20" hidden="0" customWidth="1"/>
    <x:col min="5" max="5" width="18" hidden="0" customWidth="1"/>
    <x:col min="6" max="6" width="34" hidden="0" customWidth="1"/>
  </x:cols>
  <x:sheetData>
    <x:row r="1" ht="24" hidden="0" customHeight="1">
      <x:c r="A1" s="3" t="str">
        <x:v>FitClub ЛЗ6 — ықтимал мерзім болжамы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6" t="str">
        <x:v>10 000 Monte Carlo іске қосуы | backlog: 15 story | seed: 42 | есеп күні: 07.10.2026</x:v>
      </x:c>
      <x:c r="B2" s="27"/>
      <x:c r="C2" s="27"/>
      <x:c r="D2" s="27"/>
      <x:c r="E2" s="27"/>
      <x:c r="F2" s="27"/>
      <x:c r="G2" s="27"/>
      <x:c r="H2" s="27"/>
    </x:row>
    <x:row r="3" ht="15" hidden="0" customHeight="1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1" t="str">
        <x:v>Кіріс</x:v>
      </x:c>
      <x:c r="B4" s="11" t="str">
        <x:v>Мән</x:v>
      </x:c>
      <x:c r="C4" s="27"/>
      <x:c r="D4" s="11" t="str">
        <x:v>Деңгей</x:v>
      </x:c>
      <x:c r="E4" s="11" t="str">
        <x:v>Апта</x:v>
      </x:c>
      <x:c r="F4" s="11" t="str">
        <x:v>Күн</x:v>
      </x:c>
      <x:c r="G4" s="27"/>
      <x:c r="H4" s="27"/>
    </x:row>
    <x:row r="5" ht="15" hidden="0" customHeight="1">
      <x:c r="A5" s="15" t="str">
        <x:v>Backlog, story</x:v>
      </x:c>
      <x:c r="B5" s="16" t="n">
        <x:v>15</x:v>
      </x:c>
      <x:c r="C5" s="27"/>
      <x:c r="D5" s="15" t="str">
        <x:v>P50</x:v>
      </x:c>
      <x:c r="E5" s="17" t="n">
        <x:f>'Симуляция'!G5</x:f>
        <x:v>3</x:v>
      </x:c>
      <x:c r="F5" s="17" t="str">
        <x:v>29.10.2026</x:v>
      </x:c>
      <x:c r="G5" s="27"/>
      <x:c r="H5" s="27"/>
    </x:row>
    <x:row r="6" ht="15" hidden="0" customHeight="1">
      <x:c r="A6" s="15" t="str">
        <x:v>Симуляция саны</x:v>
      </x:c>
      <x:c r="B6" s="16" t="n">
        <x:v>10000</x:v>
      </x:c>
      <x:c r="C6" s="27"/>
      <x:c r="D6" s="15" t="str">
        <x:v>P70</x:v>
      </x:c>
      <x:c r="E6" s="17" t="n">
        <x:f>'Симуляция'!G6</x:f>
        <x:v>3</x:v>
      </x:c>
      <x:c r="F6" s="17" t="str">
        <x:v>29.10.2026</x:v>
      </x:c>
      <x:c r="G6" s="27"/>
      <x:c r="H6" s="27"/>
    </x:row>
    <x:row r="7" ht="15" hidden="0" customHeight="1">
      <x:c r="A7" s="15" t="str">
        <x:v>Басталу күні</x:v>
      </x:c>
      <x:c r="B7" s="16" t="str">
        <x:v>08.10.2026</x:v>
      </x:c>
      <x:c r="C7" s="27"/>
      <x:c r="D7" s="15" t="str">
        <x:v>P85</x:v>
      </x:c>
      <x:c r="E7" s="17" t="n">
        <x:f>'Симуляция'!G7</x:f>
        <x:v>4</x:v>
      </x:c>
      <x:c r="F7" s="17" t="str">
        <x:v>05.11.2026</x:v>
      </x:c>
      <x:c r="G7" s="27"/>
      <x:c r="H7" s="27"/>
    </x:row>
    <x:row r="8" ht="15" hidden="0" customHeight="1">
      <x:c r="A8" s="15" t="str">
        <x:v>Дерек түрі</x:v>
      </x:c>
      <x:c r="B8" s="16" t="str">
        <x:v>6-дәрістегі сыртқы үлгі</x:v>
      </x:c>
      <x:c r="C8" s="27"/>
      <x:c r="D8" s="15" t="str">
        <x:v>P95</x:v>
      </x:c>
      <x:c r="E8" s="17" t="n">
        <x:f>'Симуляция'!G8</x:f>
        <x:v>4</x:v>
      </x:c>
      <x:c r="F8" s="17" t="str">
        <x:v>05.11.2026</x:v>
      </x:c>
      <x:c r="G8" s="27"/>
      <x:c r="H8" s="27"/>
    </x:row>
    <x:row r="9" ht="15" hidden="0" customHeight="1">
      <x:c r="A9" s="15" t="str">
        <x:v>Қайта есептеу күні</x:v>
      </x:c>
      <x:c r="B9" s="16" t="str">
        <x:v>22.10.2026</x:v>
      </x:c>
      <x:c r="C9" s="27"/>
      <x:c r="D9" s="27"/>
      <x:c r="E9" s="27"/>
      <x:c r="F9" s="27"/>
      <x:c r="G9" s="27"/>
      <x:c r="H9" s="27"/>
    </x:row>
    <x:row r="10" ht="15" hidden="0" customHeight="1">
      <x:c r="A10" s="27"/>
      <x:c r="B10" s="27"/>
      <x:c r="C10" s="27"/>
      <x:c r="D10" s="27"/>
      <x:c r="E10" s="27"/>
      <x:c r="F10" s="27"/>
      <x:c r="G10" s="27"/>
      <x:c r="H10" s="27"/>
    </x:row>
    <x:row r="11" ht="15" hidden="0" customHeight="1">
      <x:c r="A11" s="19" t="str">
        <x:v>Басқарушылық шешім</x:v>
      </x:c>
      <x:c r="B11" s="27"/>
      <x:c r="C11" s="27"/>
      <x:c r="D11" s="27"/>
      <x:c r="E11" s="27"/>
      <x:c r="F11" s="27"/>
      <x:c r="G11" s="27"/>
      <x:c r="H11" s="27"/>
    </x:row>
    <x:row r="12" ht="15" hidden="0" customHeight="1">
      <x:c r="A12" s="24" t="str">
        <x:v>Monte Carlo P85 = 4 апта (05.11.2026), бірақ дерек FitClub-тың өз тарихы емес. Сондықтан команда 05.11 күнін уәде етпейді: жұмыс baseline-ы — 16.12.2026. 22.10.2026 күні екі нақты апта throughput жиналған соң модель жаңартылады.</x:v>
      </x:c>
      <x:c r="B12" s="27"/>
      <x:c r="C12" s="27"/>
      <x:c r="D12" s="27"/>
      <x:c r="E12" s="27"/>
      <x:c r="F12" s="27"/>
      <x:c r="G12" s="27"/>
      <x:c r="H12" s="27"/>
    </x:row>
    <x:row r="13" ht="15" hidden="0" customHeight="1">
      <x:c r="A13" s="27"/>
      <x:c r="B13" s="27"/>
      <x:c r="C13" s="27"/>
      <x:c r="D13" s="27"/>
      <x:c r="E13" s="27"/>
      <x:c r="F13" s="27"/>
      <x:c r="G13" s="27"/>
      <x:c r="H13" s="27"/>
    </x:row>
    <x:row r="14" ht="15" hidden="0" customHeight="1">
      <x:c r="A14" s="27"/>
      <x:c r="B14" s="27"/>
      <x:c r="C14" s="27"/>
      <x:c r="D14" s="27"/>
      <x:c r="E14" s="27"/>
      <x:c r="F14" s="27"/>
      <x:c r="G14" s="27"/>
      <x:c r="H14" s="27"/>
    </x:row>
    <x:row r="15" ht="15" hidden="0" customHeight="1">
      <x:c r="A15" s="27"/>
      <x:c r="B15" s="27"/>
      <x:c r="C15" s="27"/>
      <x:c r="D15" s="27"/>
      <x:c r="E15" s="27"/>
      <x:c r="F15" s="27"/>
      <x:c r="G15" s="27"/>
      <x:c r="H15" s="27"/>
    </x:row>
    <x:row r="16" ht="15" hidden="0" customHeight="1">
      <x:c r="A16" s="11" t="str">
        <x:v>Салыстыру</x:v>
      </x:c>
      <x:c r="B16" s="11" t="str">
        <x:v>Көлем</x:v>
      </x:c>
      <x:c r="C16" s="11" t="str">
        <x:v>Қарқын</x:v>
      </x:c>
      <x:c r="D16" s="11" t="str">
        <x:v>Нәтиже</x:v>
      </x:c>
      <x:c r="E16" s="11" t="str">
        <x:v>Мәртебе</x:v>
      </x:c>
      <x:c r="F16" s="11" t="str">
        <x:v>Неге өзгеше</x:v>
      </x:c>
      <x:c r="G16" s="27"/>
      <x:c r="H16" s="27"/>
    </x:row>
    <x:row r="17" ht="24" hidden="0" customHeight="1">
      <x:c r="A17" s="15" t="str">
        <x:v>Monte Carlo</x:v>
      </x:c>
      <x:c r="B17" s="15" t="str">
        <x:v>15 story</x:v>
      </x:c>
      <x:c r="C17" s="15" t="str">
        <x:v>сыртқы үлгі, орташа 6 story/апта</x:v>
      </x:c>
      <x:c r="D17" s="15" t="str">
        <x:v>P85 = 4 апта</x:v>
      </x:c>
      <x:c r="E17" s="15" t="str">
        <x:v>диагностикалық</x:v>
      </x:c>
      <x:c r="F17" s="15" t="str">
        <x:v>Story саны және басқа reference class</x:v>
      </x:c>
      <x:c r="G17" s="27"/>
      <x:c r="H17" s="27"/>
    </x:row>
    <x:row r="18" ht="15" hidden="0" customHeight="1">
      <x:c r="A18" s="15" t="str">
        <x:v>ЛЗ5 baseline</x:v>
      </x:c>
      <x:c r="B18" s="15" t="str">
        <x:v>45 SP</x:v>
      </x:c>
      <x:c r="C18" s="15" t="str">
        <x:v>4,5 SP/апта жоспарлық</x:v>
      </x:c>
      <x:c r="D18" s="15" t="str">
        <x:v>16.12.2026</x:v>
      </x:c>
      <x:c r="E18" s="15" t="str">
        <x:v>жұмыс базасы</x:v>
      </x:c>
      <x:c r="F18" s="15" t="str">
        <x:v>Тест, интеграция, құжат және оқу кестесі</x:v>
      </x:c>
      <x:c r="G18" s="27"/>
      <x:c r="H18" s="27"/>
    </x:row>
    <x:row r="19" ht="15" hidden="0" customHeight="1">
      <x:c r="A19" s="27"/>
      <x:c r="B19" s="27"/>
      <x:c r="C19" s="27"/>
      <x:c r="D19" s="27"/>
      <x:c r="E19" s="27"/>
      <x:c r="F19" s="27"/>
      <x:c r="G19" s="27"/>
      <x:c r="H19" s="27"/>
    </x:row>
    <x:row r="20" ht="15" hidden="0" customHeight="1">
      <x:c r="A20" s="26" t="str">
        <x:v>P85 — енгізілген дерек өзгермесе, симуляциялардың кемінде 85%-ында жұмыс осы аптадан кеш емес аяқталады. Бұл кепілдік емес.</x:v>
      </x:c>
      <x:c r="B20" s="27"/>
      <x:c r="C20" s="27"/>
      <x:c r="D20" s="27"/>
      <x:c r="E20" s="27"/>
      <x:c r="F20" s="27"/>
      <x:c r="G20" s="27"/>
      <x:c r="H20" s="27"/>
    </x:row>
  </x:sheetData>
  <x:mergeCells>
    <x:mergeCell ref="A1:H1"/>
    <x:mergeCell ref="A2:H2"/>
    <x:mergeCell ref="A11:F11"/>
    <x:mergeCell ref="A12:F14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0" hidden="0" customWidth="1"/>
  </x:cols>
  <x:sheetData>
    <x:row r="1" ht="24" hidden="0" customHeight="1">
      <x:c r="A1" s="3" t="str">
        <x:v>Тарихи throughput үлгісі</x:v>
      </x:c>
      <x:c r="B1" s="27"/>
      <x:c r="C1" s="27"/>
    </x:row>
    <x:row r="2" ht="15" hidden="0" customHeight="1">
      <x:c r="A2" s="6" t="str">
        <x:v>Дереккөз: «Лекция 6. Оценка», 25-слайд. Бұл FitClub-тың нақты тарихы емес.</x:v>
      </x:c>
      <x:c r="B2" s="27"/>
      <x:c r="C2" s="27"/>
    </x:row>
    <x:row r="3" ht="15" hidden="0" customHeight="1">
      <x:c r="A3" s="27"/>
      <x:c r="B3" s="27"/>
      <x:c r="C3" s="27"/>
    </x:row>
    <x:row r="4" ht="15" hidden="0" customHeight="1">
      <x:c r="A4" s="11" t="str">
        <x:v>Апта</x:v>
      </x:c>
      <x:c r="B4" s="11" t="str">
        <x:v>Аяқталған story</x:v>
      </x:c>
      <x:c r="C4" s="11" t="str">
        <x:v>Мәртебе</x:v>
      </x:c>
    </x:row>
    <x:row r="5" ht="15" hidden="0" customHeight="1">
      <x:c r="A5" s="15" t="n">
        <x:v>1</x:v>
      </x:c>
      <x:c r="B5" s="16" t="n">
        <x:v>3</x:v>
      </x:c>
      <x:c r="C5" s="15" t="str">
        <x:v>Оқытушы үлгісі</x:v>
      </x:c>
    </x:row>
    <x:row r="6" ht="15" hidden="0" customHeight="1">
      <x:c r="A6" s="15" t="n">
        <x:v>2</x:v>
      </x:c>
      <x:c r="B6" s="16" t="n">
        <x:v>8</x:v>
      </x:c>
      <x:c r="C6" s="15" t="str">
        <x:v>Оқытушы үлгісі</x:v>
      </x:c>
    </x:row>
    <x:row r="7" ht="15" hidden="0" customHeight="1">
      <x:c r="A7" s="15" t="n">
        <x:v>3</x:v>
      </x:c>
      <x:c r="B7" s="16" t="n">
        <x:v>4</x:v>
      </x:c>
      <x:c r="C7" s="15" t="str">
        <x:v>Оқытушы үлгісі</x:v>
      </x:c>
    </x:row>
    <x:row r="8" ht="15" hidden="0" customHeight="1">
      <x:c r="A8" s="15" t="n">
        <x:v>4</x:v>
      </x:c>
      <x:c r="B8" s="16" t="n">
        <x:v>10</x:v>
      </x:c>
      <x:c r="C8" s="15" t="str">
        <x:v>Оқытушы үлгісі</x:v>
      </x:c>
    </x:row>
    <x:row r="9" ht="15" hidden="0" customHeight="1">
      <x:c r="A9" s="15" t="n">
        <x:v>5</x:v>
      </x:c>
      <x:c r="B9" s="16" t="n">
        <x:v>2</x:v>
      </x:c>
      <x:c r="C9" s="15" t="str">
        <x:v>Оқытушы үлгісі</x:v>
      </x:c>
    </x:row>
    <x:row r="10" ht="15" hidden="0" customHeight="1">
      <x:c r="A10" s="15" t="n">
        <x:v>6</x:v>
      </x:c>
      <x:c r="B10" s="16" t="n">
        <x:v>7</x:v>
      </x:c>
      <x:c r="C10" s="15" t="str">
        <x:v>Оқытушы үлгісі</x:v>
      </x:c>
    </x:row>
    <x:row r="11" ht="15" hidden="0" customHeight="1">
      <x:c r="A11" s="15" t="n">
        <x:v>7</x:v>
      </x:c>
      <x:c r="B11" s="16" t="n">
        <x:v>9</x:v>
      </x:c>
      <x:c r="C11" s="15" t="str">
        <x:v>Оқытушы үлгісі</x:v>
      </x:c>
    </x:row>
    <x:row r="12" ht="15" hidden="0" customHeight="1">
      <x:c r="A12" s="15" t="n">
        <x:v>8</x:v>
      </x:c>
      <x:c r="B12" s="16" t="n">
        <x:v>5</x:v>
      </x:c>
      <x:c r="C12" s="15" t="str">
        <x:v>Оқытушы үлгісі</x:v>
      </x:c>
    </x:row>
    <x:row r="13" ht="15" hidden="0" customHeight="1">
      <x:c r="A13" s="15" t="n">
        <x:v>9</x:v>
      </x:c>
      <x:c r="B13" s="16" t="n">
        <x:v>6</x:v>
      </x:c>
      <x:c r="C13" s="15" t="str">
        <x:v>Оқытушы үлгісі</x:v>
      </x:c>
    </x:row>
    <x:row r="14" ht="15" hidden="0" customHeight="1">
      <x:c r="A14" s="15" t="n">
        <x:v>10</x:v>
      </x:c>
      <x:c r="B14" s="16" t="n">
        <x:v>6</x:v>
      </x:c>
      <x:c r="C14" s="15" t="str">
        <x:v>Оқытушы үлгісі</x:v>
      </x:c>
    </x:row>
    <x:row r="15" ht="15" hidden="0" customHeight="1">
      <x:c r="A15" s="27"/>
      <x:c r="B15" s="27"/>
      <x:c r="C15" s="27"/>
    </x:row>
    <x:row r="16" ht="15" hidden="0" customHeight="1">
      <x:c r="A16" s="11" t="str">
        <x:v>Көрсеткіш</x:v>
      </x:c>
      <x:c r="B16" s="11" t="str">
        <x:v>Мән</x:v>
      </x:c>
      <x:c r="C16" s="27"/>
    </x:row>
    <x:row r="17" ht="15" hidden="0" customHeight="1">
      <x:c r="A17" s="15" t="str">
        <x:v>Орташа</x:v>
      </x:c>
      <x:c r="B17" s="28" t="n">
        <x:f>AVERAGE(B5:B14)</x:f>
        <x:v>6</x:v>
      </x:c>
      <x:c r="C17" s="27"/>
    </x:row>
    <x:row r="18" ht="15" hidden="0" customHeight="1">
      <x:c r="A18" s="15" t="str">
        <x:v>Медиана</x:v>
      </x:c>
      <x:c r="B18" s="28" t="n">
        <x:f>MEDIAN(B5:B14)</x:f>
        <x:v>6</x:v>
      </x:c>
      <x:c r="C18" s="27"/>
    </x:row>
  </x:sheetData>
  <x:mergeCells>
    <x:mergeCell ref="A1:E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0" hidden="0" customWidth="1"/>
    <x:col min="4" max="4" width="20" hidden="0" customWidth="1"/>
    <x:col min="6" max="6" width="16" hidden="0" customWidth="1"/>
    <x:col min="7" max="7" width="16" hidden="0" customWidth="1"/>
  </x:cols>
  <x:sheetData>
    <x:row r="1" ht="24" hidden="0" customHeight="1">
      <x:c r="A1" s="3" t="str">
        <x:v>Monte Carlo нәтижесі</x:v>
      </x:c>
      <x:c r="B1" s="27"/>
      <x:c r="C1" s="27"/>
      <x:c r="D1" s="27"/>
      <x:c r="E1" s="27"/>
      <x:c r="F1" s="27"/>
      <x:c r="G1" s="27"/>
    </x:row>
    <x:row r="2" ht="15" hidden="0" customHeight="1">
      <x:c r="A2" s="6" t="str">
        <x:v>10 000 іске қосу | backlog 15 story | seed 42 | ноутбуктағы есеппен бірдей</x:v>
      </x:c>
      <x:c r="B2" s="27"/>
      <x:c r="C2" s="27"/>
      <x:c r="D2" s="27"/>
      <x:c r="E2" s="27"/>
      <x:c r="F2" s="27"/>
      <x:c r="G2" s="27"/>
    </x:row>
    <x:row r="3" ht="15" hidden="0" customHeight="1">
      <x:c r="A3" s="27"/>
      <x:c r="B3" s="27"/>
      <x:c r="C3" s="27"/>
      <x:c r="D3" s="27"/>
      <x:c r="E3" s="27"/>
      <x:c r="F3" s="27"/>
      <x:c r="G3" s="27"/>
    </x:row>
    <x:row r="4" ht="15" hidden="0" customHeight="1">
      <x:c r="A4" s="11" t="str">
        <x:v>Апта</x:v>
      </x:c>
      <x:c r="B4" s="11" t="str">
        <x:v>Саны</x:v>
      </x:c>
      <x:c r="C4" s="11" t="str">
        <x:v>Ықтималдық</x:v>
      </x:c>
      <x:c r="D4" s="11" t="str">
        <x:v>Жинақталған</x:v>
      </x:c>
      <x:c r="E4" s="27"/>
      <x:c r="F4" s="11" t="str">
        <x:v>Деңгей</x:v>
      </x:c>
      <x:c r="G4" s="11" t="str">
        <x:v>Апта</x:v>
      </x:c>
    </x:row>
    <x:row r="5" ht="15" hidden="0" customHeight="1">
      <x:c r="A5" s="15" t="n">
        <x:v>2</x:v>
      </x:c>
      <x:c r="B5" s="15" t="n">
        <x:v>2530</x:v>
      </x:c>
      <x:c r="C5" s="29" t="n">
        <x:f>B5/$B$10</x:f>
        <x:v>0.253</x:v>
      </x:c>
      <x:c r="D5" s="29" t="n">
        <x:f>C5</x:f>
        <x:v>0.253</x:v>
      </x:c>
      <x:c r="E5" s="27"/>
      <x:c r="F5" s="36" t="n">
        <x:v>0.5</x:v>
      </x:c>
      <x:c r="G5" s="17" t="n">
        <x:f>INDEX($A$5:$A$9,MATCH(F5,$D$5:$D$9,1)+IF(INDEX($D$5:$D$9,MATCH(F5,$D$5:$D$9,1))&lt;F5,1,0))</x:f>
        <x:v>3</x:v>
      </x:c>
    </x:row>
    <x:row r="6" ht="15" hidden="0" customHeight="1">
      <x:c r="A6" s="15" t="n">
        <x:v>3</x:v>
      </x:c>
      <x:c r="B6" s="15" t="n">
        <x:v>5345</x:v>
      </x:c>
      <x:c r="C6" s="29" t="n">
        <x:f>B6/$B$10</x:f>
        <x:v>0.5345</x:v>
      </x:c>
      <x:c r="D6" s="29" t="n">
        <x:f>D5+C6</x:f>
        <x:v>0.7875</x:v>
      </x:c>
      <x:c r="E6" s="27"/>
      <x:c r="F6" s="36" t="n">
        <x:v>0.7</x:v>
      </x:c>
      <x:c r="G6" s="17" t="n">
        <x:f>INDEX($A$5:$A$9,MATCH(F6,$D$5:$D$9,1)+IF(INDEX($D$5:$D$9,MATCH(F6,$D$5:$D$9,1))&lt;F6,1,0))</x:f>
        <x:v>3</x:v>
      </x:c>
    </x:row>
    <x:row r="7" ht="15" hidden="0" customHeight="1">
      <x:c r="A7" s="15" t="n">
        <x:v>4</x:v>
      </x:c>
      <x:c r="B7" s="15" t="n">
        <x:v>1887</x:v>
      </x:c>
      <x:c r="C7" s="29" t="n">
        <x:f>B7/$B$10</x:f>
        <x:v>0.1887</x:v>
      </x:c>
      <x:c r="D7" s="29" t="n">
        <x:f>D6+C7</x:f>
        <x:v>0.9762</x:v>
      </x:c>
      <x:c r="E7" s="27"/>
      <x:c r="F7" s="36" t="n">
        <x:v>0.85</x:v>
      </x:c>
      <x:c r="G7" s="17" t="n">
        <x:f>INDEX($A$5:$A$9,MATCH(F7,$D$5:$D$9,1)+IF(INDEX($D$5:$D$9,MATCH(F7,$D$5:$D$9,1))&lt;F7,1,0))</x:f>
        <x:v>4</x:v>
      </x:c>
    </x:row>
    <x:row r="8" ht="15" hidden="0" customHeight="1">
      <x:c r="A8" s="15" t="n">
        <x:v>5</x:v>
      </x:c>
      <x:c r="B8" s="15" t="n">
        <x:v>228</x:v>
      </x:c>
      <x:c r="C8" s="29" t="n">
        <x:f>B8/$B$10</x:f>
        <x:v>0.0228</x:v>
      </x:c>
      <x:c r="D8" s="29" t="n">
        <x:f>D7+C8</x:f>
        <x:v>0.999</x:v>
      </x:c>
      <x:c r="E8" s="27"/>
      <x:c r="F8" s="36" t="n">
        <x:v>0.95</x:v>
      </x:c>
      <x:c r="G8" s="17" t="n">
        <x:f>INDEX($A$5:$A$9,MATCH(F8,$D$5:$D$9,1)+IF(INDEX($D$5:$D$9,MATCH(F8,$D$5:$D$9,1))&lt;F8,1,0))</x:f>
        <x:v>4</x:v>
      </x:c>
    </x:row>
    <x:row r="9" ht="15" hidden="0" customHeight="1">
      <x:c r="A9" s="15" t="n">
        <x:v>6</x:v>
      </x:c>
      <x:c r="B9" s="15" t="n">
        <x:v>10</x:v>
      </x:c>
      <x:c r="C9" s="29" t="n">
        <x:f>B9/$B$10</x:f>
        <x:v>0.001</x:v>
      </x:c>
      <x:c r="D9" s="29" t="n">
        <x:f>D8+C9</x:f>
        <x:v>1</x:v>
      </x:c>
      <x:c r="E9" s="27"/>
      <x:c r="F9" s="27"/>
      <x:c r="G9" s="27"/>
    </x:row>
    <x:row r="10" ht="15" hidden="0" customHeight="1">
      <x:c r="A10" s="30" t="str">
        <x:v>Барлығы</x:v>
      </x:c>
      <x:c r="B10" s="30" t="n">
        <x:v>10000</x:v>
      </x:c>
      <x:c r="C10" s="31" t="n">
        <x:f>SUM(C5:C9)</x:f>
        <x:v>1</x:v>
      </x:c>
      <x:c r="D10" s="31" t="n">
        <x:f>D9</x:f>
        <x:v>1</x:v>
      </x:c>
      <x:c r="E10" s="27"/>
      <x:c r="F10" s="27"/>
      <x:c r="G10" s="27"/>
    </x:row>
  </x:sheetData>
  <x:mergeCells>
    <x:mergeCell ref="A1:M1"/>
    <x:mergeCell ref="A2:H2"/>
  </x:mergeCells>
  <x:pageMargins left="0.7" right="0.7" top="0.75" bottom="0.75" header="0.3" footer="0.3"/>
  <x:drawing xmlns:r="http://schemas.openxmlformats.org/officeDocument/2006/relationships" r:id="Rfdd6b4b96ede4bc0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0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10" hidden="0" customWidth="1"/>
    <x:col min="9" max="9" width="13" hidden="0" customWidth="1"/>
    <x:col min="10" max="10" width="38" hidden="0" customWidth="1"/>
    <x:col min="11" max="11" width="25" hidden="0" customWidth="1"/>
  </x:cols>
  <x:sheetData>
    <x:row r="1" ht="24" hidden="0" customHeight="1">
      <x:c r="A1" s="3" t="str">
        <x:v>Planning Poker — алдын ала модель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 ht="15" hidden="0" customHeight="1">
      <x:c r="A2" s="6" t="str">
        <x:v>Нақты дауыс хаттамасы емес. Команда сессия өткізіп, үш дауыс бағанын растауы немесе түзетуі керек.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15" hidden="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 ht="15" hidden="0" customHeight="1">
      <x:c r="A4" s="11" t="str">
        <x:v>ID</x:v>
      </x:c>
      <x:c r="B4" s="11" t="str">
        <x:v>Story</x:v>
      </x:c>
      <x:c r="C4" s="11" t="str">
        <x:v>Айдос</x:v>
      </x:c>
      <x:c r="D4" s="11" t="str">
        <x:v>Ануар</x:v>
      </x:c>
      <x:c r="E4" s="11" t="str">
        <x:v>Әділбек</x:v>
      </x:c>
      <x:c r="F4" s="11" t="str">
        <x:v>Min</x:v>
      </x:c>
      <x:c r="G4" s="11" t="str">
        <x:v>Max</x:v>
      </x:c>
      <x:c r="H4" s="11" t="str">
        <x:v>Spread</x:v>
      </x:c>
      <x:c r="I4" s="11" t="str">
        <x:v>Ұсыныс SP</x:v>
      </x:c>
      <x:c r="J4" s="11" t="str">
        <x:v>Айырмашылық себебі</x:v>
      </x:c>
      <x:c r="K4" s="11" t="str">
        <x:v>Мәртебе</x:v>
      </x:c>
    </x:row>
    <x:row r="5" ht="15" hidden="0" customHeight="1">
      <x:c r="A5" s="15" t="str">
        <x:v>US01</x:v>
      </x:c>
      <x:c r="B5" s="15" t="str">
        <x:v>Кіру және рөлдер</x:v>
      </x:c>
      <x:c r="C5" s="16" t="n">
        <x:v>2</x:v>
      </x:c>
      <x:c r="D5" s="16" t="n">
        <x:v>3</x:v>
      </x:c>
      <x:c r="E5" s="16" t="n">
        <x:v>3</x:v>
      </x:c>
      <x:c r="F5" s="15" t="n">
        <x:f>MIN(C5:E5)</x:f>
        <x:v>2</x:v>
      </x:c>
      <x:c r="G5" s="15" t="n">
        <x:f>MAX(C5:E5)</x:f>
        <x:v>3</x:v>
      </x:c>
      <x:c r="H5" s="15" t="n">
        <x:f>G5-F5</x:f>
        <x:v>1</x:v>
      </x:c>
      <x:c r="I5" s="15" t="n">
        <x:v>3</x:v>
      </x:c>
      <x:c r="J5" s="15" t="str">
        <x:v>Сессия мерзімі және рөлдік құқық</x:v>
      </x:c>
      <x:c r="K5" s="37" t="str">
        <x:v>Команда растауы керек</x:v>
      </x:c>
    </x:row>
    <x:row r="6" ht="15" hidden="0" customHeight="1">
      <x:c r="A6" s="15" t="str">
        <x:v>US02</x:v>
      </x:c>
      <x:c r="B6" s="15" t="str">
        <x:v>Клиент карточкасы</x:v>
      </x:c>
      <x:c r="C6" s="16" t="n">
        <x:v>3</x:v>
      </x:c>
      <x:c r="D6" s="16" t="n">
        <x:v>3</x:v>
      </x:c>
      <x:c r="E6" s="16" t="n">
        <x:v>5</x:v>
      </x:c>
      <x:c r="F6" s="15" t="n">
        <x:f>MIN(C6:E6)</x:f>
        <x:v>3</x:v>
      </x:c>
      <x:c r="G6" s="15" t="n">
        <x:f>MAX(C6:E6)</x:f>
        <x:v>5</x:v>
      </x:c>
      <x:c r="H6" s="15" t="n">
        <x:f>G6-F6</x:f>
        <x:v>2</x:v>
      </x:c>
      <x:c r="I6" s="15" t="n">
        <x:v>3</x:v>
      </x:c>
      <x:c r="J6" s="15" t="str">
        <x:v>Міндетті өріс, дубль, телефон пішімі</x:v>
      </x:c>
      <x:c r="K6" s="37" t="str">
        <x:v>Команда растауы керек</x:v>
      </x:c>
    </x:row>
    <x:row r="7" ht="15" hidden="0" customHeight="1">
      <x:c r="A7" s="15" t="str">
        <x:v>US03</x:v>
      </x:c>
      <x:c r="B7" s="15" t="str">
        <x:v>Клиентті іздеу</x:v>
      </x:c>
      <x:c r="C7" s="16" t="n">
        <x:v>2</x:v>
      </x:c>
      <x:c r="D7" s="16" t="n">
        <x:v>2</x:v>
      </x:c>
      <x:c r="E7" s="16" t="n">
        <x:v>3</x:v>
      </x:c>
      <x:c r="F7" s="15" t="n">
        <x:f>MIN(C7:E7)</x:f>
        <x:v>2</x:v>
      </x:c>
      <x:c r="G7" s="15" t="n">
        <x:f>MAX(C7:E7)</x:f>
        <x:v>3</x:v>
      </x:c>
      <x:c r="H7" s="15" t="n">
        <x:f>G7-F7</x:f>
        <x:v>1</x:v>
      </x:c>
      <x:c r="I7" s="15" t="n">
        <x:v>2</x:v>
      </x:c>
      <x:c r="J7" s="15" t="str">
        <x:v>Іздеу өрісі және дерекке қолжетімділік</x:v>
      </x:c>
      <x:c r="K7" s="37" t="str">
        <x:v>Команда растауы керек</x:v>
      </x:c>
    </x:row>
    <x:row r="8" ht="15" hidden="0" customHeight="1">
      <x:c r="A8" s="15" t="str">
        <x:v>US04</x:v>
      </x:c>
      <x:c r="B8" s="15" t="str">
        <x:v>Абонемент құру</x:v>
      </x:c>
      <x:c r="C8" s="16" t="n">
        <x:v>3</x:v>
      </x:c>
      <x:c r="D8" s="16" t="n">
        <x:v>5</x:v>
      </x:c>
      <x:c r="E8" s="16" t="n">
        <x:v>8</x:v>
      </x:c>
      <x:c r="F8" s="15" t="n">
        <x:f>MIN(C8:E8)</x:f>
        <x:v>3</x:v>
      </x:c>
      <x:c r="G8" s="15" t="n">
        <x:f>MAX(C8:E8)</x:f>
        <x:v>8</x:v>
      </x:c>
      <x:c r="H8" s="15" t="n">
        <x:f>G8-F8</x:f>
        <x:v>5</x:v>
      </x:c>
      <x:c r="I8" s="15" t="n">
        <x:v>5</x:v>
      </x:c>
      <x:c r="J8" s="15" t="str">
        <x:v>Тариф түрі, мерзім, аудит</x:v>
      </x:c>
      <x:c r="K8" s="37" t="str">
        <x:v>Команда растауы керек</x:v>
      </x:c>
    </x:row>
    <x:row r="9" ht="15" hidden="0" customHeight="1">
      <x:c r="A9" s="15" t="str">
        <x:v>US06</x:v>
      </x:c>
      <x:c r="B9" s="15" t="str">
        <x:v>Төлемді тіркеу</x:v>
      </x:c>
      <x:c r="C9" s="16" t="n">
        <x:v>2</x:v>
      </x:c>
      <x:c r="D9" s="16" t="n">
        <x:v>3</x:v>
      </x:c>
      <x:c r="E9" s="16" t="n">
        <x:v>5</x:v>
      </x:c>
      <x:c r="F9" s="15" t="n">
        <x:f>MIN(C9:E9)</x:f>
        <x:v>2</x:v>
      </x:c>
      <x:c r="G9" s="15" t="n">
        <x:f>MAX(C9:E9)</x:f>
        <x:v>5</x:v>
      </x:c>
      <x:c r="H9" s="15" t="n">
        <x:f>G9-F9</x:f>
        <x:v>3</x:v>
      </x:c>
      <x:c r="I9" s="15" t="n">
        <x:v>3</x:v>
      </x:c>
      <x:c r="J9" s="15" t="str">
        <x:v>Төлем күйі, қайталау, idempotency</x:v>
      </x:c>
      <x:c r="K9" s="37" t="str">
        <x:v>Команда растауы керек</x:v>
      </x:c>
    </x:row>
    <x:row r="10" ht="15" hidden="0" customHeight="1">
      <x:c r="A10" s="15" t="str">
        <x:v>US08</x:v>
      </x:c>
      <x:c r="B10" s="15" t="str">
        <x:v>Жаттығуға жазылу</x:v>
      </x:c>
      <x:c r="C10" s="16" t="n">
        <x:v>3</x:v>
      </x:c>
      <x:c r="D10" s="16" t="n">
        <x:v>5</x:v>
      </x:c>
      <x:c r="E10" s="16" t="n">
        <x:v>8</x:v>
      </x:c>
      <x:c r="F10" s="15" t="n">
        <x:f>MIN(C10:E10)</x:f>
        <x:v>3</x:v>
      </x:c>
      <x:c r="G10" s="15" t="n">
        <x:f>MAX(C10:E10)</x:f>
        <x:v>8</x:v>
      </x:c>
      <x:c r="H10" s="15" t="n">
        <x:f>G10-F10</x:f>
        <x:v>5</x:v>
      </x:c>
      <x:c r="I10" s="15" t="n">
        <x:v>5</x:v>
      </x:c>
      <x:c r="J10" s="15" t="str">
        <x:v>Соңғы орынға параллель сұраныс</x:v>
      </x:c>
      <x:c r="K10" s="37" t="str">
        <x:v>Команда растауы керек</x:v>
      </x:c>
    </x:row>
    <x:row r="11" ht="15" hidden="0" customHeight="1">
      <x:c r="A11" s="15" t="str">
        <x:v>US09</x:v>
      </x:c>
      <x:c r="B11" s="15" t="str">
        <x:v>Бас тарту</x:v>
      </x:c>
      <x:c r="C11" s="16" t="n">
        <x:v>2</x:v>
      </x:c>
      <x:c r="D11" s="16" t="n">
        <x:v>2</x:v>
      </x:c>
      <x:c r="E11" s="16" t="n">
        <x:v>3</x:v>
      </x:c>
      <x:c r="F11" s="15" t="n">
        <x:f>MIN(C11:E11)</x:f>
        <x:v>2</x:v>
      </x:c>
      <x:c r="G11" s="15" t="n">
        <x:f>MAX(C11:E11)</x:f>
        <x:v>3</x:v>
      </x:c>
      <x:c r="H11" s="15" t="n">
        <x:f>G11-F11</x:f>
        <x:v>1</x:v>
      </x:c>
      <x:c r="I11" s="15" t="n">
        <x:v>2</x:v>
      </x:c>
      <x:c r="J11" s="15" t="str">
        <x:v>Кеш бас тарту және орынды қайтару</x:v>
      </x:c>
      <x:c r="K11" s="37" t="str">
        <x:v>Команда растауы керек</x:v>
      </x:c>
    </x:row>
    <x:row r="12" ht="15" hidden="0" customHeight="1">
      <x:c r="A12" s="15" t="str">
        <x:v>US11</x:v>
      </x:c>
      <x:c r="B12" s="15" t="str">
        <x:v>Келуді белгілеу</x:v>
      </x:c>
      <x:c r="C12" s="16" t="n">
        <x:v>2</x:v>
      </x:c>
      <x:c r="D12" s="16" t="n">
        <x:v>3</x:v>
      </x:c>
      <x:c r="E12" s="16" t="n">
        <x:v>5</x:v>
      </x:c>
      <x:c r="F12" s="15" t="n">
        <x:f>MIN(C12:E12)</x:f>
        <x:v>2</x:v>
      </x:c>
      <x:c r="G12" s="15" t="n">
        <x:f>MAX(C12:E12)</x:f>
        <x:v>5</x:v>
      </x:c>
      <x:c r="H12" s="15" t="n">
        <x:f>G12-F12</x:f>
        <x:v>3</x:v>
      </x:c>
      <x:c r="I12" s="15" t="n">
        <x:v>3</x:v>
      </x:c>
      <x:c r="J12" s="15" t="str">
        <x:v>Қайталама белгілеу, лимит, журнал</x:v>
      </x:c>
      <x:c r="K12" s="37" t="str">
        <x:v>Команда растауы керек</x:v>
      </x:c>
    </x:row>
    <x:row r="13" ht="15" hidden="0" customHeight="1">
      <x:c r="A13" s="15" t="str">
        <x:v>US12</x:v>
      </x:c>
      <x:c r="B13" s="15" t="str">
        <x:v>Күндік көрсеткіш</x:v>
      </x:c>
      <x:c r="C13" s="16" t="n">
        <x:v>3</x:v>
      </x:c>
      <x:c r="D13" s="16" t="n">
        <x:v>3</x:v>
      </x:c>
      <x:c r="E13" s="16" t="n">
        <x:v>5</x:v>
      </x:c>
      <x:c r="F13" s="15" t="n">
        <x:f>MIN(C13:E13)</x:f>
        <x:v>3</x:v>
      </x:c>
      <x:c r="G13" s="15" t="n">
        <x:f>MAX(C13:E13)</x:f>
        <x:v>5</x:v>
      </x:c>
      <x:c r="H13" s="15" t="n">
        <x:f>G13-F13</x:f>
        <x:v>2</x:v>
      </x:c>
      <x:c r="I13" s="15" t="n">
        <x:v>3</x:v>
      </x:c>
      <x:c r="J13" s="15" t="str">
        <x:v>Агрегация анықтамасы және құқық</x:v>
      </x:c>
      <x:c r="K13" s="37" t="str">
        <x:v>Команда растауы керек</x:v>
      </x:c>
    </x:row>
    <x:row r="14" ht="15" hidden="0" customHeight="1">
      <x:c r="A14" s="15" t="str">
        <x:v>US19</x:v>
      </x:c>
      <x:c r="B14" s="15" t="str">
        <x:v>Бір реттік келу</x:v>
      </x:c>
      <x:c r="C14" s="16" t="n">
        <x:v>2</x:v>
      </x:c>
      <x:c r="D14" s="16" t="n">
        <x:v>3</x:v>
      </x:c>
      <x:c r="E14" s="16" t="n">
        <x:v>5</x:v>
      </x:c>
      <x:c r="F14" s="15" t="n">
        <x:f>MIN(C14:E14)</x:f>
        <x:v>2</x:v>
      </x:c>
      <x:c r="G14" s="15" t="n">
        <x:f>MAX(C14:E14)</x:f>
        <x:v>5</x:v>
      </x:c>
      <x:c r="H14" s="15" t="n">
        <x:f>G14-F14</x:f>
        <x:v>3</x:v>
      </x:c>
      <x:c r="I14" s="15" t="n">
        <x:v>3</x:v>
      </x:c>
      <x:c r="J14" s="15" t="str">
        <x:v>Жазылусыз келу және сұраныс ID</x:v>
      </x:c>
      <x:c r="K14" s="37" t="str">
        <x:v>Команда растауы керек</x:v>
      </x:c>
    </x:row>
    <x:row r="15" ht="15" hidden="0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</x:row>
    <x:row r="16" ht="15" hidden="0" customHeight="1">
      <x:c r="A16" s="26" t="str">
        <x:v>Талқылаудың мақсаты: орташа сан шығару емес, жасырын тәуелділік, ұмытылған тест, аудит, concurrency және Definition of Done жұмысын табу.</x:v>
      </x:c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</x:row>
  </x:sheetData>
  <x:mergeCells>
    <x:mergeCell ref="A1:K1"/>
    <x:mergeCell ref="A2:H2"/>
    <x:mergeCell ref="A16:K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2" hidden="0" customWidth="1"/>
    <x:col min="4" max="4" width="58" hidden="0" customWidth="1"/>
  </x:cols>
  <x:sheetData>
    <x:row r="1" ht="24" hidden="0" customHeight="1">
      <x:c r="A1" s="3" t="str">
        <x:v>Дереккөздер және допущениелер</x:v>
      </x:c>
      <x:c r="B1" s="27"/>
      <x:c r="C1" s="27"/>
      <x:c r="D1" s="27"/>
    </x:row>
    <x:row r="2" ht="15" hidden="0" customHeight="1">
      <x:c r="A2" s="6" t="str">
        <x:v>Әр санның қайдан шыққаны және қалай қолданылатыны</x:v>
      </x:c>
      <x:c r="B2" s="27"/>
      <x:c r="C2" s="27"/>
      <x:c r="D2" s="27"/>
    </x:row>
    <x:row r="3" ht="15" hidden="0" customHeight="1">
      <x:c r="A3" s="27"/>
      <x:c r="B3" s="27"/>
      <x:c r="C3" s="27"/>
      <x:c r="D3" s="27"/>
    </x:row>
    <x:row r="4" ht="15" hidden="0" customHeight="1">
      <x:c r="A4" s="11" t="str">
        <x:v>Элемент</x:v>
      </x:c>
      <x:c r="B4" s="11" t="str">
        <x:v>Мән</x:v>
      </x:c>
      <x:c r="C4" s="11" t="str">
        <x:v>Санат</x:v>
      </x:c>
      <x:c r="D4" s="11" t="str">
        <x:v>Түсіндірме/дереккөз</x:v>
      </x:c>
    </x:row>
    <x:row r="5" ht="15" hidden="0" customHeight="1">
      <x:c r="A5" s="15" t="str">
        <x:v>Throughput</x:v>
      </x:c>
      <x:c r="B5" s="16" t="str">
        <x:v>3,8,4,10,2,7,9,5,6,6</x:v>
      </x:c>
      <x:c r="C5" s="15" t="str">
        <x:v>Оқу дерегі</x:v>
      </x:c>
      <x:c r="D5" s="15" t="str">
        <x:v>«Лекция 6. Оценка», 25-слайд; FitClub тарихы емес</x:v>
      </x:c>
    </x:row>
    <x:row r="6" ht="15" hidden="0" customHeight="1">
      <x:c r="A6" s="15" t="str">
        <x:v>Backlog</x:v>
      </x:c>
      <x:c r="B6" s="16" t="str">
        <x:v>15 story</x:v>
      </x:c>
      <x:c r="C6" s="15" t="str">
        <x:v>Жоба дерегі</x:v>
      </x:c>
      <x:c r="D6" s="15" t="str">
        <x:v>FitClub ЛЗ4 MVP backlog</x:v>
      </x:c>
    </x:row>
    <x:row r="7" ht="15" hidden="0" customHeight="1">
      <x:c r="A7" s="15" t="str">
        <x:v>Симуляция</x:v>
      </x:c>
      <x:c r="B7" s="16" t="str">
        <x:v>10 000</x:v>
      </x:c>
      <x:c r="C7" s="15" t="str">
        <x:v>Модель параметрі</x:v>
      </x:c>
      <x:c r="D7" s="15" t="str">
        <x:v>ЛЗ6 талабы</x:v>
      </x:c>
    </x:row>
    <x:row r="8" ht="15" hidden="0" customHeight="1">
      <x:c r="A8" s="15" t="str">
        <x:v>Seed</x:v>
      </x:c>
      <x:c r="B8" s="16" t="str">
        <x:v>42</x:v>
      </x:c>
      <x:c r="C8" s="15" t="str">
        <x:v>Модель параметрі</x:v>
      </x:c>
      <x:c r="D8" s="15" t="str">
        <x:v>Қайталанғыштық</x:v>
      </x:c>
    </x:row>
    <x:row r="9" ht="15" hidden="0" customHeight="1">
      <x:c r="A9" s="15" t="str">
        <x:v>Басталу</x:v>
      </x:c>
      <x:c r="B9" s="16" t="str">
        <x:v>08.10.2026</x:v>
      </x:c>
      <x:c r="C9" s="15" t="str">
        <x:v>Болжам</x:v>
      </x:c>
      <x:c r="D9" s="15" t="str">
        <x:v>ЛЗ6-дан кейінгі күн</x:v>
      </x:c>
    </x:row>
    <x:row r="10" ht="15" hidden="0" customHeight="1">
      <x:c r="A10" s="15" t="str">
        <x:v>ЛЗ5 baseline</x:v>
      </x:c>
      <x:c r="B10" s="16" t="str">
        <x:v>16.12.2026</x:v>
      </x:c>
      <x:c r="C10" s="15" t="str">
        <x:v>Жоба жоспары</x:v>
      </x:c>
      <x:c r="D10" s="15" t="str">
        <x:v>docs/plan/release-plan.md</x:v>
      </x:c>
    </x:row>
    <x:row r="11" ht="15" hidden="0" customHeight="1">
      <x:c r="A11" s="15" t="str">
        <x:v>Қайта есептеу</x:v>
      </x:c>
      <x:c r="B11" s="16" t="str">
        <x:v>22.10.2026</x:v>
      </x:c>
      <x:c r="C11" s="15" t="str">
        <x:v>Басқарушылық шешім</x:v>
      </x:c>
      <x:c r="D11" s="15" t="str">
        <x:v>Екі нақты аптадан кейін</x:v>
      </x:c>
    </x:row>
    <x:row r="12" ht="15" hidden="0" customHeight="1">
      <x:c r="A12" s="15" t="str">
        <x:v>Planning Poker</x:v>
      </x:c>
      <x:c r="B12" s="16" t="str">
        <x:v>10 story</x:v>
      </x:c>
      <x:c r="C12" s="15" t="str">
        <x:v>Алдын ала модель</x:v>
      </x:c>
      <x:c r="D12" s="15" t="str">
        <x:v>Нақты команда сессиясы растауы керек</x:v>
      </x:c>
    </x:row>
    <x:row r="13" ht="15" hidden="0" customHeight="1">
      <x:c r="A13" s="27"/>
      <x:c r="B13" s="27"/>
      <x:c r="C13" s="27"/>
      <x:c r="D13" s="27"/>
    </x:row>
    <x:row r="14" ht="15" hidden="0" customHeight="1">
      <x:c r="A14" s="40" t="str">
        <x:v>Шектеу: сыртқы throughput пен FitClub story-лерінің өлшемі бірдей екені дәлелденбеген. Сондықтан Monte Carlo нәтижесі мерзім уәдесі емес.</x:v>
      </x:c>
      <x:c r="B14" s="27"/>
      <x:c r="C14" s="27"/>
      <x:c r="D14" s="27"/>
    </x:row>
  </x:sheetData>
  <x:mergeCells>
    <x:mergeCell ref="A1:D1"/>
    <x:mergeCell ref="A2:H2"/>
    <x:mergeCell ref="A14:D14"/>
  </x:mergeCells>
  <x:pageMargins left="0.7" right="0.7" top="0.75" bottom="0.75" header="0.3" footer="0.3"/>
</x:worksheet>
</file>