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7d2aa713b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Қорытынды" sheetId="1" r:id="R9409fc09b2b3470f"/>
    <x:sheet xmlns:r="http://schemas.openxmlformats.org/officeDocument/2006/relationships" name="Тәуекелдер" sheetId="2" r:id="Rde978c6c62d14caf"/>
    <x:sheet xmlns:r="http://schemas.openxmlformats.org/officeDocument/2006/relationships" name="Топ 5" sheetId="3" r:id="Re4e613f982454bc2"/>
    <x:sheet xmlns:r="http://schemas.openxmlformats.org/officeDocument/2006/relationships" name="STRIDE" sheetId="4" r:id="R8359adfeb8ae45aa"/>
    <x:sheet xmlns:r="http://schemas.openxmlformats.org/officeDocument/2006/relationships" name="Сәйкестік" sheetId="5" r:id="R346905fd50d2467e"/>
    <x:sheet xmlns:r="http://schemas.openxmlformats.org/officeDocument/2006/relationships" name="Backlog" sheetId="6" r:id="R99d93a57597c4937"/>
    <x:sheet xmlns:r="http://schemas.openxmlformats.org/officeDocument/2006/relationships" name="Скан" sheetId="7" r:id="R686e957668364088"/>
    <x:sheet xmlns:r="http://schemas.openxmlformats.org/officeDocument/2006/relationships" name="RAID контекст" sheetId="8" r:id="Ra43d74b865af4991"/>
    <x:sheet xmlns:r="http://schemas.openxmlformats.org/officeDocument/2006/relationships" name="Шкалалар" sheetId="9" r:id="R0e05797df324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1">
    <x:font>
      <x:sz val="11"/>
      <x:name val="Carlito"/>
    </x:font>
    <x:font>
      <x:b/>
      <x:sz val="20"/>
      <x:color rgb="FF17324D"/>
      <x:name val="Arial"/>
    </x:font>
    <x:font>
      <x:sz val="10"/>
      <x:color rgb="FF4D5D6C"/>
      <x:name val="Arial"/>
    </x:font>
    <x:font>
      <x:b/>
      <x:sz val="10"/>
      <x:color rgb="FFFFFFFF"/>
      <x:name val="Arial"/>
    </x:font>
    <x:font>
      <x:sz val="9"/>
      <x:color rgb="FF1F2D38"/>
      <x:name val="Arial"/>
    </x:font>
    <x:font>
      <x:b/>
      <x:sz val="11"/>
      <x:color rgb="FF17324D"/>
      <x:name val="Arial"/>
    </x:font>
    <x:font>
      <x:sz val="11"/>
      <x:color rgb="FF1F2D38"/>
      <x:name val="Arial"/>
    </x:font>
    <x:font>
      <x:b/>
      <x:sz val="10"/>
      <x:color rgb="FF6B4E00"/>
      <x:name val="Arial"/>
    </x:font>
    <x:font>
      <x:sz val="10"/>
      <x:color rgb="FF17324D"/>
      <x:name val="Arial"/>
    </x:font>
    <x:font>
      <x:sz val="9"/>
      <x:color rgb="FF17324D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577A"/>
      </x:patternFill>
    </x:fill>
    <x:fill>
      <x:patternFill patternType="solid">
        <x:fgColor rgb="FFEAF3F7"/>
      </x:patternFill>
    </x:fill>
    <x:fill>
      <x:patternFill patternType="solid">
        <x:fgColor rgb="FFFFF4D6"/>
      </x:patternFill>
    </x:fill>
    <x:fill>
      <x:patternFill patternType="solid">
        <x:fgColor rgb="FFFCE8E6"/>
      </x:patternFill>
    </x:fill>
    <x:fill>
      <x:patternFill patternType="solid">
        <x:fgColor rgb="FFFFF0D9"/>
      </x:patternFill>
    </x:fill>
  </x:fills>
  <x:borders count="5">
    <x:border/>
    <x:border>
      <x:bottom style="medium">
        <x:color rgb="FF167D9A"/>
      </x:bottom>
    </x:border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bottom style="thin">
        <x:color rgb="FF167D9A"/>
      </x:bottom>
    </x:border>
    <x:border>
      <x:left style="medium">
        <x:color rgb="FF167D9A"/>
      </x:left>
      <x:right style="medium">
        <x:color rgb="FF167D9A"/>
      </x:right>
      <x:top style="medium">
        <x:color rgb="FF167D9A"/>
      </x:top>
      <x:bottom style="medium">
        <x:color rgb="FF167D9A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e512297a947bf" /><Relationship Type="http://schemas.openxmlformats.org/officeDocument/2006/relationships/theme" Target="/xl/theme/theme1.xml" Id="R0e4e384649184b4e" /><Relationship Type="http://schemas.openxmlformats.org/officeDocument/2006/relationships/sharedStrings" Target="/xl/sharedStrings.xml" Id="R0ead1f4b605b4bbf" /><Relationship Type="http://schemas.openxmlformats.org/officeDocument/2006/relationships/worksheet" Target="/xl/worksheets/sheet1.xml" Id="R9409fc09b2b3470f" /><Relationship Type="http://schemas.openxmlformats.org/officeDocument/2006/relationships/worksheet" Target="/xl/worksheets/sheet2.xml" Id="Rde978c6c62d14caf" /><Relationship Type="http://schemas.openxmlformats.org/officeDocument/2006/relationships/worksheet" Target="/xl/worksheets/sheet3.xml" Id="Re4e613f982454bc2" /><Relationship Type="http://schemas.openxmlformats.org/officeDocument/2006/relationships/worksheet" Target="/xl/worksheets/sheet4.xml" Id="R8359adfeb8ae45aa" /><Relationship Type="http://schemas.openxmlformats.org/officeDocument/2006/relationships/worksheet" Target="/xl/worksheets/sheet5.xml" Id="R346905fd50d2467e" /><Relationship Type="http://schemas.openxmlformats.org/officeDocument/2006/relationships/worksheet" Target="/xl/worksheets/sheet6.xml" Id="R99d93a57597c4937" /><Relationship Type="http://schemas.openxmlformats.org/officeDocument/2006/relationships/worksheet" Target="/xl/worksheets/sheet7.xml" Id="R686e957668364088" /><Relationship Type="http://schemas.openxmlformats.org/officeDocument/2006/relationships/worksheet" Target="/xl/worksheets/sheet8.xml" Id="Ra43d74b865af4991" /><Relationship Type="http://schemas.openxmlformats.org/officeDocument/2006/relationships/worksheet" Target="/xl/worksheets/sheet9.xml" Id="R0e05797df32440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5ffe36d48645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Тәуекелдер деңгейі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Саны</c:v>
          </c:tx>
          <c:cat>
            <c:strRef>
              <c:f>'Қорытынды'!$D$5:$D$8</c:f>
              <c:strCache>
                <c:ptCount val="0"/>
              </c:strCache>
            </c:strRef>
          </c:cat>
          <c:val>
            <c:numRef>
              <c:f>'Қорытынды'!$E$5:$E$8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5ffe36d486454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d5e16b935b4d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5" hidden="0" customWidth="1"/>
    <x:col min="3" max="3" width="3" hidden="0" customWidth="1"/>
    <x:col min="4" max="4" width="18" hidden="0" customWidth="1"/>
    <x:col min="5" max="5" width="12" hidden="0" customWidth="1"/>
    <x:col min="6" max="6" width="26" hidden="0" customWidth="1"/>
    <x:col min="7" max="7" width="14" hidden="0" customWidth="1"/>
    <x:col min="8" max="8" width="14" hidden="0" customWidth="1"/>
  </x:cols>
  <x:sheetData>
    <x:row r="1" ht="24" hidden="0" customHeight="1">
      <x:c r="A1" s="3" t="str">
        <x:v>FitClub ЛЗ7 — тәуекелдер және қауіпсіздік</x:v>
      </x:c>
      <x:c r="B1" s="34"/>
      <x:c r="C1" s="34"/>
      <x:c r="D1" s="34"/>
      <x:c r="E1" s="34"/>
      <x:c r="F1" s="34"/>
      <x:c r="G1" s="34"/>
      <x:c r="H1" s="34"/>
    </x:row>
    <x:row r="2" ht="15" hidden="0" customHeight="1">
      <x:c r="A2" s="5" t="str">
        <x:v>24 тәуекел | STRIDE: аутентификация | нақты Gitleaks/Trivy сканы | 07.10.2026</x:v>
      </x:c>
      <x:c r="B2" s="34"/>
      <x:c r="C2" s="34"/>
      <x:c r="D2" s="34"/>
      <x:c r="E2" s="34"/>
      <x:c r="F2" s="34"/>
      <x:c r="G2" s="34"/>
      <x:c r="H2" s="34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</x:row>
    <x:row r="4" ht="15" hidden="0" customHeight="1">
      <x:c r="A4" s="10" t="str">
        <x:v>Көрсеткіш</x:v>
      </x:c>
      <x:c r="B4" s="10" t="str">
        <x:v>Мән</x:v>
      </x:c>
      <x:c r="C4" s="34"/>
      <x:c r="D4" s="10" t="str">
        <x:v>Деңгей</x:v>
      </x:c>
      <x:c r="E4" s="10" t="str">
        <x:v>Саны</x:v>
      </x:c>
      <x:c r="F4" s="10" t="str">
        <x:v>Шешім</x:v>
      </x:c>
      <x:c r="G4" s="34"/>
      <x:c r="H4" s="34"/>
    </x:row>
    <x:row r="5" ht="15" hidden="0" customHeight="1">
      <x:c r="A5" s="14" t="str">
        <x:v>Барлық тәуекел</x:v>
      </x:c>
      <x:c r="B5" s="15" t="n">
        <x:f>COUNTA('Тәуекелдер'!A5:A28)</x:f>
        <x:v>24</x:v>
      </x:c>
      <x:c r="C5" s="34"/>
      <x:c r="D5" s="14" t="str">
        <x:v>Критикалық</x:v>
      </x:c>
      <x:c r="E5" s="14" t="n">
        <x:f>B6</x:f>
        <x:v>5</x:v>
      </x:c>
      <x:c r="F5" s="14" t="str">
        <x:v>Апта сайын қарау</x:v>
      </x:c>
      <x:c r="G5" s="34"/>
      <x:c r="H5" s="34"/>
    </x:row>
    <x:row r="6" ht="15" hidden="0" customHeight="1">
      <x:c r="A6" s="14" t="str">
        <x:v>Критикалық (15–25)</x:v>
      </x:c>
      <x:c r="B6" s="15" t="n">
        <x:f>COUNTIF('Тәуекелдер'!H5:H28,"Критикалық")</x:f>
        <x:v>5</x:v>
      </x:c>
      <x:c r="C6" s="34"/>
      <x:c r="D6" s="14" t="str">
        <x:v>Жоғары</x:v>
      </x:c>
      <x:c r="E6" s="14" t="n">
        <x:f>B7</x:f>
        <x:v>13</x:v>
      </x:c>
      <x:c r="F6" s="14" t="str">
        <x:v>Апта сайын қарау</x:v>
      </x:c>
      <x:c r="G6" s="34"/>
      <x:c r="H6" s="34"/>
    </x:row>
    <x:row r="7" ht="15" hidden="0" customHeight="1">
      <x:c r="A7" s="14" t="str">
        <x:v>Жоғары (10–14)</x:v>
      </x:c>
      <x:c r="B7" s="15" t="n">
        <x:f>COUNTIF('Тәуекелдер'!H5:H28,"Жоғары")</x:f>
        <x:v>13</x:v>
      </x:c>
      <x:c r="C7" s="34"/>
      <x:c r="D7" s="14" t="str">
        <x:v>Орта</x:v>
      </x:c>
      <x:c r="E7" s="14" t="n">
        <x:f>B8</x:f>
        <x:v>6</x:v>
      </x:c>
      <x:c r="F7" s="14" t="str">
        <x:v>Екі апта сайын</x:v>
      </x:c>
      <x:c r="G7" s="34"/>
      <x:c r="H7" s="34"/>
    </x:row>
    <x:row r="8" ht="15" hidden="0" customHeight="1">
      <x:c r="A8" s="14" t="str">
        <x:v>Орта (5–9)</x:v>
      </x:c>
      <x:c r="B8" s="15" t="n">
        <x:f>COUNTIF('Тәуекелдер'!H5:H28,"Орта")</x:f>
        <x:v>6</x:v>
      </x:c>
      <x:c r="C8" s="34"/>
      <x:c r="D8" s="14" t="str">
        <x:v>Төмен</x:v>
      </x:c>
      <x:c r="E8" s="14" t="n">
        <x:f>B9</x:f>
        <x:v>0</x:v>
      </x:c>
      <x:c r="F8" s="14" t="str">
        <x:v>Ай сайын</x:v>
      </x:c>
      <x:c r="G8" s="34"/>
      <x:c r="H8" s="34"/>
    </x:row>
    <x:row r="9" ht="15" hidden="0" customHeight="1">
      <x:c r="A9" s="14" t="str">
        <x:v>Төмен (1–4)</x:v>
      </x:c>
      <x:c r="B9" s="15" t="n">
        <x:f>COUNTIF('Тәуекелдер'!H5:H28,"Төмен")</x:f>
        <x:v>0</x:v>
      </x:c>
      <x:c r="C9" s="34"/>
      <x:c r="D9" s="34"/>
      <x:c r="E9" s="34"/>
      <x:c r="F9" s="34"/>
      <x:c r="G9" s="34"/>
      <x:c r="H9" s="34"/>
    </x:row>
    <x:row r="10" ht="15" hidden="0" customHeight="1">
      <x:c r="A10" s="14" t="str">
        <x:v>Жеке иесі бар</x:v>
      </x:c>
      <x:c r="B10" s="15" t="n">
        <x:f>COUNTIF('Тәуекелдер'!I5:I28,"&lt;&gt;")</x:f>
        <x:v>24</x:v>
      </x:c>
      <x:c r="C10" s="34"/>
      <x:c r="D10" s="34"/>
      <x:c r="E10" s="34"/>
      <x:c r="F10" s="34"/>
      <x:c r="G10" s="34"/>
      <x:c r="H10" s="34"/>
    </x:row>
    <x:row r="11" ht="15" hidden="0" customHeight="1">
      <x:c r="A11" s="34"/>
      <x:c r="B11" s="34"/>
      <x:c r="C11" s="34"/>
      <x:c r="D11" s="34"/>
      <x:c r="E11" s="34"/>
      <x:c r="F11" s="34"/>
      <x:c r="G11" s="34"/>
      <x:c r="H11" s="34"/>
    </x:row>
    <x:row r="12" ht="15" hidden="0" customHeight="1">
      <x:c r="A12" s="18" t="str">
        <x:v>Басқарушылық шешім</x:v>
      </x:c>
      <x:c r="B12" s="18"/>
      <x:c r="C12" s="18"/>
      <x:c r="D12" s="18"/>
      <x:c r="E12" s="18"/>
      <x:c r="F12" s="18"/>
      <x:c r="G12" s="18"/>
      <x:c r="H12" s="18"/>
    </x:row>
    <x:row r="13" ht="70" customHeight="1">
      <x:c r="A13" s="22" t="str">
        <x:v>Алғашқы басымдық — R01, R04, R05, R02 және R03. SEC-01/02/03 backlog тапсырмалары осы тәуекелдерді азайтады. Нақты дерек production-да қолданылмайды: хостинг, заңды негіз және retention бекітілгенге дейін тек синтетикалық дерек пайдаланылады.</x:v>
      </x:c>
      <x:c r="B13" s="34"/>
      <x:c r="C13" s="34"/>
      <x:c r="D13" s="34"/>
      <x:c r="E13" s="34"/>
      <x:c r="F13" s="34"/>
      <x:c r="G13" s="34"/>
      <x:c r="H13" s="34"/>
    </x:row>
    <x:row r="14">
      <x:c r="A14" s="34"/>
      <x:c r="B14" s="34"/>
      <x:c r="C14" s="34"/>
      <x:c r="D14" s="34"/>
      <x:c r="E14" s="34"/>
      <x:c r="F14" s="34"/>
      <x:c r="G14" s="34"/>
      <x:c r="H14" s="34"/>
    </x:row>
    <x:row r="15">
      <x:c r="A15" s="34"/>
      <x:c r="B15" s="34"/>
      <x:c r="C15" s="34"/>
      <x:c r="D15" s="34"/>
      <x:c r="E15" s="34"/>
      <x:c r="F15" s="34"/>
      <x:c r="G15" s="34"/>
      <x:c r="H15" s="34"/>
    </x:row>
    <x:row r="16" ht="15" hidden="0" customHeight="1">
      <x:c r="A16" s="34"/>
      <x:c r="B16" s="34"/>
      <x:c r="C16" s="34"/>
      <x:c r="D16" s="34"/>
      <x:c r="E16" s="34"/>
      <x:c r="F16" s="34"/>
      <x:c r="G16" s="34"/>
      <x:c r="H16" s="34"/>
    </x:row>
    <x:row r="17" ht="15" hidden="0" customHeight="1">
      <x:c r="A17" s="25" t="str">
        <x:v>Шынайылық ескертуі: тізім — pre-mortem сессиясына дайын кандидат. Команда бағаларды талқылап, хаттамада растауы тиіс.</x:v>
      </x:c>
      <x:c r="B17" s="34"/>
      <x:c r="C17" s="34"/>
      <x:c r="D17" s="34"/>
      <x:c r="E17" s="34"/>
      <x:c r="F17" s="34"/>
      <x:c r="G17" s="34"/>
      <x:c r="H17" s="34"/>
    </x:row>
  </x:sheetData>
  <x:mergeCells>
    <x:mergeCell ref="A1:H1"/>
    <x:mergeCell ref="A2:H2"/>
    <x:mergeCell ref="A12:H12"/>
    <x:mergeCell ref="A13:H15"/>
    <x:mergeCell ref="A17:H17"/>
  </x:mergeCells>
  <x:pageMargins left="0.7" right="0.7" top="0.75" bottom="0.75" header="0.3" footer="0.3"/>
  <x:drawing xmlns:r="http://schemas.openxmlformats.org/officeDocument/2006/relationships" r:id="R96d5e16b935b4d69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34" hidden="0" customWidth="1"/>
    <x:col min="5" max="5" width="7" hidden="0" customWidth="1"/>
    <x:col min="6" max="6" width="7" hidden="0" customWidth="1"/>
    <x:col min="7" max="7" width="10" hidden="0" customWidth="1"/>
    <x:col min="8" max="8" width="15" hidden="0" customWidth="1"/>
    <x:col min="9" max="9" width="13" hidden="0" customWidth="1"/>
    <x:col min="10" max="10" width="18" hidden="0" customWidth="1"/>
    <x:col min="11" max="11" width="42" hidden="0" customWidth="1"/>
    <x:col min="12" max="12" width="46" hidden="0" customWidth="1"/>
    <x:col min="13" max="13" width="14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2" hidden="0" customWidth="1"/>
  </x:cols>
  <x:sheetData>
    <x:row r="1" ht="24" hidden="0" customHeight="1">
      <x:c r="A1" s="3" t="str">
        <x:v>FitClub тәуекелдер тізілімі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</x:row>
    <x:row r="2" ht="15" hidden="0" customHeight="1">
      <x:c r="A2" s="5" t="str">
        <x:v>P және I: 1–5 | Ұпай = P×I | әр тәуекелде бір иесі және байқалатын trigger бар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</x:row>
    <x:row r="4" ht="15" hidden="0" customHeight="1">
      <x:c r="A4" s="10" t="str">
        <x:v>ID</x:v>
      </x:c>
      <x:c r="B4" s="10" t="str">
        <x:v>Санат</x:v>
      </x:c>
      <x:c r="C4" s="10" t="str">
        <x:v>Егер…</x:v>
      </x:c>
      <x:c r="D4" s="10" t="str">
        <x:v>Онда…</x:v>
      </x:c>
      <x:c r="E4" s="10" t="str">
        <x:v>P</x:v>
      </x:c>
      <x:c r="F4" s="10" t="str">
        <x:v>I</x:v>
      </x:c>
      <x:c r="G4" s="10" t="str">
        <x:v>Ұпай</x:v>
      </x:c>
      <x:c r="H4" s="10" t="str">
        <x:v>Деңгей</x:v>
      </x:c>
      <x:c r="I4" s="10" t="str">
        <x:v>Иесі</x:v>
      </x:c>
      <x:c r="J4" s="10" t="str">
        <x:v>Стратегия</x:v>
      </x:c>
      <x:c r="K4" s="10" t="str">
        <x:v>Байқалатын trigger</x:v>
      </x:c>
      <x:c r="L4" s="10" t="str">
        <x:v>Жауап жоспары</x:v>
      </x:c>
      <x:c r="M4" s="10" t="str">
        <x:v>Шолу күні</x:v>
      </x:c>
      <x:c r="N4" s="10" t="str">
        <x:v>Күйі</x:v>
      </x:c>
      <x:c r="O4" s="10" t="str">
        <x:v>Қалдық P</x:v>
      </x:c>
      <x:c r="P4" s="10" t="str">
        <x:v>Қалдық I</x:v>
      </x:c>
      <x:c r="Q4" s="10" t="str">
        <x:v>Қалдық ұпай</x:v>
      </x:c>
      <x:c r="R4" s="10" t="str">
        <x:v>Ескерту</x:v>
      </x:c>
    </x:row>
    <x:row r="5" ht="21.600000381469727" hidden="0" customHeight="1">
      <x:c r="A5" s="14" t="str">
        <x:v>R01</x:v>
      </x:c>
      <x:c r="B5" s="14" t="str">
        <x:v>Қауіпсіздік</x:v>
      </x:c>
      <x:c r="C5" s="14" t="str">
        <x:v>рөлдер серверде тексерілмесе немесе аутентификация әлсіз болса</x:v>
      </x:c>
      <x:c r="D5" s="14" t="str">
        <x:v>бөгде адам клиент дерегіне қол жеткізеді</x:v>
      </x:c>
      <x:c r="E5" s="26" t="n">
        <x:v>4</x:v>
      </x:c>
      <x:c r="F5" s="26" t="n">
        <x:v>5</x:v>
      </x:c>
      <x:c r="G5" s="15" t="n">
        <x:f>E5*F5</x:f>
        <x:v>20</x:v>
      </x:c>
      <x:c r="H5" s="28" t="str">
        <x:f>IF(G5&gt;=15,"Критикалық",IF(G5&gt;=10,"Жоғары",IF(G5&gt;=5,"Орта","Төмен")))</x:f>
        <x:v>Критикалық</x:v>
      </x:c>
      <x:c r="I5" s="14" t="str">
        <x:v>Айдос</x:v>
      </x:c>
      <x:c r="J5" s="14" t="str">
        <x:v>Азайту</x:v>
      </x:c>
      <x:c r="K5" s="14" t="str">
        <x:v>рұқсатсыз сұрау 200 қайтарады не 5+ сәтсіз кіру/10 мин</x:v>
      </x:c>
      <x:c r="L5" s="14" t="str">
        <x:v>RBAC, rate-limit, сессияны тоқтату, теріс тесттер</x:v>
      </x:c>
      <x:c r="M5" s="27" t="str">
        <x:v>14.10.2026</x:v>
      </x:c>
      <x:c r="N5" s="14" t="str">
        <x:v>Ашық</x:v>
      </x:c>
      <x:c r="O5" s="26" t="n">
        <x:v>2</x:v>
      </x:c>
      <x:c r="P5" s="26" t="n">
        <x:v>5</x:v>
      </x:c>
      <x:c r="Q5" s="14" t="n">
        <x:f>O5*P5</x:f>
        <x:v>10</x:v>
      </x:c>
      <x:c r="R5" s="14" t="str">
        <x:v>Top-5</x:v>
      </x:c>
    </x:row>
    <x:row r="6" ht="15" hidden="0" customHeight="1">
      <x:c r="A6" s="14" t="str">
        <x:v>R02</x:v>
      </x:c>
      <x:c r="B6" s="14" t="str">
        <x:v>Құпиялылық</x:v>
      </x:c>
      <x:c r="C6" s="14" t="str">
        <x:v>экспорт, лог не backup-та жеке дерек ашық қалса</x:v>
      </x:c>
      <x:c r="D6" s="14" t="str">
        <x:v>деректер тарайды және сенім жоғалады</x:v>
      </x:c>
      <x:c r="E6" s="26" t="n">
        <x:v>3</x:v>
      </x:c>
      <x:c r="F6" s="26" t="n">
        <x:v>5</x:v>
      </x:c>
      <x:c r="G6" s="15" t="n">
        <x:f>E6*F6</x:f>
        <x:v>15</x:v>
      </x:c>
      <x:c r="H6" s="28" t="str">
        <x:f>IF(G6&gt;=15,"Критикалық",IF(G6&gt;=10,"Жоғары",IF(G6&gt;=5,"Орта","Төмен")))</x:f>
        <x:v>Критикалық</x:v>
      </x:c>
      <x:c r="I6" s="14" t="str">
        <x:v>Әділбек</x:v>
      </x:c>
      <x:c r="J6" s="14" t="str">
        <x:v>Азайту</x:v>
      </x:c>
      <x:c r="K6" s="14" t="str">
        <x:v>лог/экспорттан телефон не токен табылады</x:v>
      </x:c>
      <x:c r="L6" s="14" t="str">
        <x:v>өрістерді маскалау, рұқсатты шектеу, инцидент жоспары</x:v>
      </x:c>
      <x:c r="M6" s="27" t="str">
        <x:v>14.10.2026</x:v>
      </x:c>
      <x:c r="N6" s="14" t="str">
        <x:v>Ашық</x:v>
      </x:c>
      <x:c r="O6" s="26" t="n">
        <x:v>2</x:v>
      </x:c>
      <x:c r="P6" s="26" t="n">
        <x:v>5</x:v>
      </x:c>
      <x:c r="Q6" s="14" t="n">
        <x:f>O6*P6</x:f>
        <x:v>10</x:v>
      </x:c>
      <x:c r="R6" s="14" t="str">
        <x:v>Top-5</x:v>
      </x:c>
    </x:row>
    <x:row r="7" ht="21.600000381469727" hidden="0" customHeight="1">
      <x:c r="A7" s="14" t="str">
        <x:v>R03</x:v>
      </x:c>
      <x:c r="B7" s="14" t="str">
        <x:v>Үздіксіздік</x:v>
      </x:c>
      <x:c r="C7" s="14" t="str">
        <x:v>backup бөлек сақталмаса немесе restore тексерілмесе</x:v>
      </x:c>
      <x:c r="D7" s="14" t="str">
        <x:v>ақаудан кейін дерек қалпына келмейді</x:v>
      </x:c>
      <x:c r="E7" s="26" t="n">
        <x:v>3</x:v>
      </x:c>
      <x:c r="F7" s="26" t="n">
        <x:v>5</x:v>
      </x:c>
      <x:c r="G7" s="15" t="n">
        <x:f>E7*F7</x:f>
        <x:v>15</x:v>
      </x:c>
      <x:c r="H7" s="28" t="str">
        <x:f>IF(G7&gt;=15,"Критикалық",IF(G7&gt;=10,"Жоғары",IF(G7&gt;=5,"Орта","Төмен")))</x:f>
        <x:v>Критикалық</x:v>
      </x:c>
      <x:c r="I7" s="14" t="str">
        <x:v>Айдос</x:v>
      </x:c>
      <x:c r="J7" s="14" t="str">
        <x:v>Азайту</x:v>
      </x:c>
      <x:c r="K7" s="14" t="str">
        <x:v>соңғы сәтті backup &gt;24 сағ немесе restore-тест жоқ</x:v>
      </x:c>
      <x:c r="L7" s="14" t="str">
        <x:v>күнделікті backup, бөлек сақтау, айлық restore-тест</x:v>
      </x:c>
      <x:c r="M7" s="27" t="str">
        <x:v>14.10.2026</x:v>
      </x:c>
      <x:c r="N7" s="14" t="str">
        <x:v>Ашық</x:v>
      </x:c>
      <x:c r="O7" s="26" t="n">
        <x:v>2</x:v>
      </x:c>
      <x:c r="P7" s="26" t="n">
        <x:v>4</x:v>
      </x:c>
      <x:c r="Q7" s="14" t="n">
        <x:f>O7*P7</x:f>
        <x:v>8</x:v>
      </x:c>
      <x:c r="R7" s="14" t="str">
        <x:v>Top-5</x:v>
      </x:c>
    </x:row>
    <x:row r="8" ht="21.600000381469727" hidden="0" customHeight="1">
      <x:c r="A8" s="14" t="str">
        <x:v>R04</x:v>
      </x:c>
      <x:c r="B8" s="14" t="str">
        <x:v>Талап</x:v>
      </x:c>
      <x:c r="C8" s="14" t="str">
        <x:v>оқытушы қабылдау талабын өзгертсе не талап түсініксіз болса</x:v>
      </x:c>
      <x:c r="D8" s="14" t="str">
        <x:v>команда қате нәтиже дайындайды</x:v>
      </x:c>
      <x:c r="E8" s="26" t="n">
        <x:v>4</x:v>
      </x:c>
      <x:c r="F8" s="26" t="n">
        <x:v>4</x:v>
      </x:c>
      <x:c r="G8" s="15" t="n">
        <x:f>E8*F8</x:f>
        <x:v>16</x:v>
      </x:c>
      <x:c r="H8" s="28" t="str">
        <x:f>IF(G8&gt;=15,"Критикалық",IF(G8&gt;=10,"Жоғары",IF(G8&gt;=5,"Орта","Төмен")))</x:f>
        <x:v>Критикалық</x:v>
      </x:c>
      <x:c r="I8" s="14" t="str">
        <x:v>Ануар</x:v>
      </x:c>
      <x:c r="J8" s="14" t="str">
        <x:v>Болдырмау</x:v>
      </x:c>
      <x:c r="K8" s="14" t="str">
        <x:v>критерийге жауапсыз сұрақ немесе қайшы пікір</x:v>
      </x:c>
      <x:c r="L8" s="14" t="str">
        <x:v>decision log, мысалмен нақтылау, жазбаша бекіту</x:v>
      </x:c>
      <x:c r="M8" s="27" t="str">
        <x:v>14.10.2026</x:v>
      </x:c>
      <x:c r="N8" s="14" t="str">
        <x:v>Ашық</x:v>
      </x:c>
      <x:c r="O8" s="26" t="n">
        <x:v>2</x:v>
      </x:c>
      <x:c r="P8" s="26" t="n">
        <x:v>3</x:v>
      </x:c>
      <x:c r="Q8" s="14" t="n">
        <x:f>O8*P8</x:f>
        <x:v>6</x:v>
      </x:c>
      <x:c r="R8" s="14" t="str">
        <x:v>Top-5</x:v>
      </x:c>
    </x:row>
    <x:row r="9" ht="15" hidden="0" customHeight="1">
      <x:c r="A9" s="14" t="str">
        <x:v>R05</x:v>
      </x:c>
      <x:c r="B9" s="14" t="str">
        <x:v>Команда</x:v>
      </x:c>
      <x:c r="C9" s="14" t="str">
        <x:v>негізгі әзірлеуші қолжетімсіз болса</x:v>
      </x:c>
      <x:c r="D9" s="14" t="str">
        <x:v>жұмыс пен қорғау тоқтайды</x:v>
      </x:c>
      <x:c r="E9" s="26" t="n">
        <x:v>4</x:v>
      </x:c>
      <x:c r="F9" s="26" t="n">
        <x:v>4</x:v>
      </x:c>
      <x:c r="G9" s="15" t="n">
        <x:f>E9*F9</x:f>
        <x:v>16</x:v>
      </x:c>
      <x:c r="H9" s="28" t="str">
        <x:f>IF(G9&gt;=15,"Критикалық",IF(G9&gt;=10,"Жоғары",IF(G9&gt;=5,"Орта","Төмен")))</x:f>
        <x:v>Критикалық</x:v>
      </x:c>
      <x:c r="I9" s="14" t="str">
        <x:v>Айдос</x:v>
      </x:c>
      <x:c r="J9" s="14" t="str">
        <x:v>Азайту</x:v>
      </x:c>
      <x:c r="K9" s="14" t="str">
        <x:v>2 күннен артық blocker не тек бір адам білетін модуль</x:v>
      </x:c>
      <x:c r="L9" s="14" t="str">
        <x:v>README, task handoff, Әділбекке резервтік нұсқаулық</x:v>
      </x:c>
      <x:c r="M9" s="27" t="str">
        <x:v>14.10.2026</x:v>
      </x:c>
      <x:c r="N9" s="14" t="str">
        <x:v>Ашық</x:v>
      </x:c>
      <x:c r="O9" s="26" t="n">
        <x:v>2</x:v>
      </x:c>
      <x:c r="P9" s="26" t="n">
        <x:v>3</x:v>
      </x:c>
      <x:c r="Q9" s="14" t="n">
        <x:f>O9*P9</x:f>
        <x:v>6</x:v>
      </x:c>
      <x:c r="R9" s="14" t="str">
        <x:v>Top-5</x:v>
      </x:c>
    </x:row>
    <x:row r="10" ht="15" hidden="0" customHeight="1">
      <x:c r="A10" s="14" t="str">
        <x:v>R06</x:v>
      </x:c>
      <x:c r="B10" s="14" t="str">
        <x:v>Функционал</x:v>
      </x:c>
      <x:c r="C10" s="14" t="str">
        <x:v>екі сұрау бір орынға қатар келсе</x:v>
      </x:c>
      <x:c r="D10" s="14" t="str">
        <x:v>double booking пайда болады</x:v>
      </x:c>
      <x:c r="E10" s="26" t="n">
        <x:v>3</x:v>
      </x:c>
      <x:c r="F10" s="26" t="n">
        <x:v>4</x:v>
      </x:c>
      <x:c r="G10" s="15" t="n">
        <x:f>E10*F10</x:f>
        <x:v>12</x:v>
      </x:c>
      <x:c r="H10" s="29" t="str">
        <x:f>IF(G10&gt;=15,"Критикалық",IF(G10&gt;=10,"Жоғары",IF(G10&gt;=5,"Орта","Төмен")))</x:f>
        <x:v>Жоғары</x:v>
      </x:c>
      <x:c r="I10" s="14" t="str">
        <x:v>Әділбек</x:v>
      </x:c>
      <x:c r="J10" s="14" t="str">
        <x:v>Азайту</x:v>
      </x:c>
      <x:c r="K10" s="14" t="str">
        <x:v>бір уақытқа екі белсенді бронь</x:v>
      </x:c>
      <x:c r="L10" s="14" t="str">
        <x:v>DB unique constraint, транзакция, concurrency test</x:v>
      </x:c>
      <x:c r="M10" s="27" t="str">
        <x:v>21.10.2026</x:v>
      </x:c>
      <x:c r="N10" s="14" t="str">
        <x:v>Ашық</x:v>
      </x:c>
      <x:c r="O10" s="26" t="n">
        <x:v>2</x:v>
      </x:c>
      <x:c r="P10" s="26" t="n">
        <x:v>3</x:v>
      </x:c>
      <x:c r="Q10" s="14" t="n">
        <x:f>O10*P10</x:f>
        <x:v>6</x:v>
      </x:c>
      <x:c r="R10" s="14" t="str"/>
    </x:row>
    <x:row r="11" ht="15" hidden="0" customHeight="1">
      <x:c r="A11" s="14" t="str">
        <x:v>R07</x:v>
      </x:c>
      <x:c r="B11" s="14" t="str">
        <x:v>Функционал</x:v>
      </x:c>
      <x:c r="C11" s="14" t="str">
        <x:v>қатысу екі рет белгіленсе</x:v>
      </x:c>
      <x:c r="D11" s="14" t="str">
        <x:v>абонемент лимиті қате азаяды</x:v>
      </x:c>
      <x:c r="E11" s="26" t="n">
        <x:v>3</x:v>
      </x:c>
      <x:c r="F11" s="26" t="n">
        <x:v>4</x:v>
      </x:c>
      <x:c r="G11" s="15" t="n">
        <x:f>E11*F11</x:f>
        <x:v>12</x:v>
      </x:c>
      <x:c r="H11" s="29" t="str">
        <x:f>IF(G11&gt;=15,"Критикалық",IF(G11&gt;=10,"Жоғары",IF(G11&gt;=5,"Орта","Төмен")))</x:f>
        <x:v>Жоғары</x:v>
      </x:c>
      <x:c r="I11" s="14" t="str">
        <x:v>Әділбек</x:v>
      </x:c>
      <x:c r="J11" s="14" t="str">
        <x:v>Азайту</x:v>
      </x:c>
      <x:c r="K11" s="14" t="str">
        <x:v>бір клиент/сабаққа екі attendance</x:v>
      </x:c>
      <x:c r="L11" s="14" t="str">
        <x:v>idempotency key, unique constraint, regression test</x:v>
      </x:c>
      <x:c r="M11" s="27" t="str">
        <x:v>21.10.2026</x:v>
      </x:c>
      <x:c r="N11" s="14" t="str">
        <x:v>Ашық</x:v>
      </x:c>
      <x:c r="O11" s="26" t="n">
        <x:v>2</x:v>
      </x:c>
      <x:c r="P11" s="26" t="n">
        <x:v>3</x:v>
      </x:c>
      <x:c r="Q11" s="14" t="n">
        <x:f>O11*P11</x:f>
        <x:v>6</x:v>
      </x:c>
      <x:c r="R11" s="14" t="str"/>
    </x:row>
    <x:row r="12" ht="15" hidden="0" customHeight="1">
      <x:c r="A12" s="14" t="str">
        <x:v>R08</x:v>
      </x:c>
      <x:c r="B12" s="14" t="str">
        <x:v>Қауіпсіздік</x:v>
      </x:c>
      <x:c r="C12" s="14" t="str">
        <x:v>құпия кілт Git-ке commit жасалса</x:v>
      </x:c>
      <x:c r="D12" s="14" t="str">
        <x:v>жүйеге заңсыз кіру мүмкін болады</x:v>
      </x:c>
      <x:c r="E12" s="26" t="n">
        <x:v>2</x:v>
      </x:c>
      <x:c r="F12" s="26" t="n">
        <x:v>5</x:v>
      </x:c>
      <x:c r="G12" s="15" t="n">
        <x:f>E12*F12</x:f>
        <x:v>10</x:v>
      </x:c>
      <x:c r="H12" s="29" t="str">
        <x:f>IF(G12&gt;=15,"Критикалық",IF(G12&gt;=10,"Жоғары",IF(G12&gt;=5,"Орта","Төмен")))</x:f>
        <x:v>Жоғары</x:v>
      </x:c>
      <x:c r="I12" s="14" t="str">
        <x:v>Айдос</x:v>
      </x:c>
      <x:c r="J12" s="14" t="str">
        <x:v>Азайту</x:v>
      </x:c>
      <x:c r="K12" s="14" t="str">
        <x:v>Gitleaks finding немесе token pattern</x:v>
      </x:c>
      <x:c r="L12" s="14" t="str">
        <x:v>secret manager, pre-commit/CI scan, key rotation</x:v>
      </x:c>
      <x:c r="M12" s="27" t="str">
        <x:v>21.10.2026</x:v>
      </x:c>
      <x:c r="N12" s="14" t="str">
        <x:v>Ашық</x:v>
      </x:c>
      <x:c r="O12" s="26" t="n">
        <x:v>1</x:v>
      </x:c>
      <x:c r="P12" s="26" t="n">
        <x:v>5</x:v>
      </x:c>
      <x:c r="Q12" s="14" t="n">
        <x:f>O12*P12</x:f>
        <x:v>5</x:v>
      </x:c>
      <x:c r="R12" s="14" t="str"/>
    </x:row>
    <x:row r="13" ht="15" hidden="0" customHeight="1">
      <x:c r="A13" s="14" t="str">
        <x:v>R09</x:v>
      </x:c>
      <x:c r="B13" s="14" t="str">
        <x:v>Қауіпсіздік</x:v>
      </x:c>
      <x:c r="C13" s="14" t="str">
        <x:v>осал тәуелділік қолданылса</x:v>
      </x:c>
      <x:c r="D13" s="14" t="str">
        <x:v>белгілі осалдық эксплуатацияланады</x:v>
      </x:c>
      <x:c r="E13" s="26" t="n">
        <x:v>3</x:v>
      </x:c>
      <x:c r="F13" s="26" t="n">
        <x:v>4</x:v>
      </x:c>
      <x:c r="G13" s="15" t="n">
        <x:f>E13*F13</x:f>
        <x:v>12</x:v>
      </x:c>
      <x:c r="H13" s="29" t="str">
        <x:f>IF(G13&gt;=15,"Критикалық",IF(G13&gt;=10,"Жоғары",IF(G13&gt;=5,"Орта","Төмен")))</x:f>
        <x:v>Жоғары</x:v>
      </x:c>
      <x:c r="I13" s="14" t="str">
        <x:v>Әділбек</x:v>
      </x:c>
      <x:c r="J13" s="14" t="str">
        <x:v>Азайту</x:v>
      </x:c>
      <x:c r="K13" s="14" t="str">
        <x:v>Trivy HIGH/CRITICAL finding</x:v>
      </x:c>
      <x:c r="L13" s="14" t="str">
        <x:v>нұсқаны жаңарту, тәуекелді қабылдауды құжаттау</x:v>
      </x:c>
      <x:c r="M13" s="27" t="str">
        <x:v>21.10.2026</x:v>
      </x:c>
      <x:c r="N13" s="14" t="str">
        <x:v>Ашық</x:v>
      </x:c>
      <x:c r="O13" s="26" t="n">
        <x:v>2</x:v>
      </x:c>
      <x:c r="P13" s="26" t="n">
        <x:v>4</x:v>
      </x:c>
      <x:c r="Q13" s="14" t="n">
        <x:f>O13*P13</x:f>
        <x:v>8</x:v>
      </x:c>
      <x:c r="R13" s="14" t="str"/>
    </x:row>
    <x:row r="14" ht="15" hidden="0" customHeight="1">
      <x:c r="A14" s="14" t="str">
        <x:v>R10</x:v>
      </x:c>
      <x:c r="B14" s="14" t="str">
        <x:v>Қауіпсіздік</x:v>
      </x:c>
      <x:c r="C14" s="14" t="str">
        <x:v>кіруде rate-limit болмаса</x:v>
      </x:c>
      <x:c r="D14" s="14" t="str">
        <x:v>brute-force шабуылы мүмкін болады</x:v>
      </x:c>
      <x:c r="E14" s="26" t="n">
        <x:v>3</x:v>
      </x:c>
      <x:c r="F14" s="26" t="n">
        <x:v>4</x:v>
      </x:c>
      <x:c r="G14" s="15" t="n">
        <x:f>E14*F14</x:f>
        <x:v>12</x:v>
      </x:c>
      <x:c r="H14" s="29" t="str">
        <x:f>IF(G14&gt;=15,"Критикалық",IF(G14&gt;=10,"Жоғары",IF(G14&gt;=5,"Орта","Төмен")))</x:f>
        <x:v>Жоғары</x:v>
      </x:c>
      <x:c r="I14" s="14" t="str">
        <x:v>Айдос</x:v>
      </x:c>
      <x:c r="J14" s="14" t="str">
        <x:v>Азайту</x:v>
      </x:c>
      <x:c r="K14" s="14" t="str">
        <x:v>бір IP/аккаунттан 5+ сәтсіз кіру/10 мин</x:v>
      </x:c>
      <x:c r="L14" s="14" t="str">
        <x:v>rate-limit, уақытша lock, alert</x:v>
      </x:c>
      <x:c r="M14" s="27" t="str">
        <x:v>21.10.2026</x:v>
      </x:c>
      <x:c r="N14" s="14" t="str">
        <x:v>Ашық</x:v>
      </x:c>
      <x:c r="O14" s="26" t="n">
        <x:v>2</x:v>
      </x:c>
      <x:c r="P14" s="26" t="n">
        <x:v>4</x:v>
      </x:c>
      <x:c r="Q14" s="14" t="n">
        <x:f>O14*P14</x:f>
        <x:v>8</x:v>
      </x:c>
      <x:c r="R14" s="14" t="str"/>
    </x:row>
    <x:row r="15" ht="15" hidden="0" customHeight="1">
      <x:c r="A15" s="14" t="str">
        <x:v>R11</x:v>
      </x:c>
      <x:c r="B15" s="14" t="str">
        <x:v>Аудит</x:v>
      </x:c>
      <x:c r="C15" s="14" t="str">
        <x:v>әкімші әрекеттері толық логталмаса</x:v>
      </x:c>
      <x:c r="D15" s="14" t="str">
        <x:v>өзгерісті кім жасағаны дәлелденбейді</x:v>
      </x:c>
      <x:c r="E15" s="26" t="n">
        <x:v>3</x:v>
      </x:c>
      <x:c r="F15" s="26" t="n">
        <x:v>4</x:v>
      </x:c>
      <x:c r="G15" s="15" t="n">
        <x:f>E15*F15</x:f>
        <x:v>12</x:v>
      </x:c>
      <x:c r="H15" s="29" t="str">
        <x:f>IF(G15&gt;=15,"Критикалық",IF(G15&gt;=10,"Жоғары",IF(G15&gt;=5,"Орта","Төмен")))</x:f>
        <x:v>Жоғары</x:v>
      </x:c>
      <x:c r="I15" s="14" t="str">
        <x:v>Әділбек</x:v>
      </x:c>
      <x:c r="J15" s="14" t="str">
        <x:v>Азайту</x:v>
      </x:c>
      <x:c r="K15" s="14" t="str">
        <x:v>өзгерісте actor/time/request ID жоқ</x:v>
      </x:c>
      <x:c r="L15" s="14" t="str">
        <x:v>өзгермейтін audit log және QA тексеруі</x:v>
      </x:c>
      <x:c r="M15" s="27" t="str">
        <x:v>21.10.2026</x:v>
      </x:c>
      <x:c r="N15" s="14" t="str">
        <x:v>Ашық</x:v>
      </x:c>
      <x:c r="O15" s="26" t="n">
        <x:v>2</x:v>
      </x:c>
      <x:c r="P15" s="26" t="n">
        <x:v>3</x:v>
      </x:c>
      <x:c r="Q15" s="14" t="n">
        <x:f>O15*P15</x:f>
        <x:v>6</x:v>
      </x:c>
      <x:c r="R15" s="14" t="str"/>
    </x:row>
    <x:row r="16" ht="15" hidden="0" customHeight="1">
      <x:c r="A16" s="14" t="str">
        <x:v>R12</x:v>
      </x:c>
      <x:c r="B16" s="14" t="str">
        <x:v>Қауіпсіздік</x:v>
      </x:c>
      <x:c r="C16" s="14" t="str">
        <x:v>әкімші құрылғысы жоғалса</x:v>
      </x:c>
      <x:c r="D16" s="14" t="str">
        <x:v>белсенді сессияны бөтен адам қолданады</x:v>
      </x:c>
      <x:c r="E16" s="26" t="n">
        <x:v>2</x:v>
      </x:c>
      <x:c r="F16" s="26" t="n">
        <x:v>4</x:v>
      </x:c>
      <x:c r="G16" s="15" t="n">
        <x:f>E16*F16</x:f>
        <x:v>8</x:v>
      </x:c>
      <x:c r="H16" s="26" t="str">
        <x:f>IF(G16&gt;=15,"Критикалық",IF(G16&gt;=10,"Жоғары",IF(G16&gt;=5,"Орта","Төмен")))</x:f>
        <x:v>Орта</x:v>
      </x:c>
      <x:c r="I16" s="14" t="str">
        <x:v>Айдос</x:v>
      </x:c>
      <x:c r="J16" s="14" t="str">
        <x:v>Азайту</x:v>
      </x:c>
      <x:c r="K16" s="14" t="str">
        <x:v>жоғалған құрылғы немесе күмәнді жаңа кіру</x:v>
      </x:c>
      <x:c r="L16" s="14" t="str">
        <x:v>қысқа session TTL, logout-all, пароль ауыстыру</x:v>
      </x:c>
      <x:c r="M16" s="27" t="str">
        <x:v>28.10.2026</x:v>
      </x:c>
      <x:c r="N16" s="14" t="str">
        <x:v>Ашық</x:v>
      </x:c>
      <x:c r="O16" s="26" t="n">
        <x:v>1</x:v>
      </x:c>
      <x:c r="P16" s="26" t="n">
        <x:v>4</x:v>
      </x:c>
      <x:c r="Q16" s="14" t="n">
        <x:f>O16*P16</x:f>
        <x:v>4</x:v>
      </x:c>
      <x:c r="R16" s="14" t="str"/>
    </x:row>
    <x:row r="17" ht="15" hidden="0" customHeight="1">
      <x:c r="A17" s="14" t="str">
        <x:v>R13</x:v>
      </x:c>
      <x:c r="B17" s="14" t="str">
        <x:v>Инфрақұрылым</x:v>
      </x:c>
      <x:c r="C17" s="14" t="str">
        <x:v>хостинг пен дерек орналасуы кеш бекітілсе</x:v>
      </x:c>
      <x:c r="D17" s="14" t="str">
        <x:v>пилот кешігеді және compliance тексерілмейді</x:v>
      </x:c>
      <x:c r="E17" s="26" t="n">
        <x:v>3</x:v>
      </x:c>
      <x:c r="F17" s="26" t="n">
        <x:v>3</x:v>
      </x:c>
      <x:c r="G17" s="15" t="n">
        <x:f>E17*F17</x:f>
        <x:v>9</x:v>
      </x:c>
      <x:c r="H17" s="26" t="str">
        <x:f>IF(G17&gt;=15,"Критикалық",IF(G17&gt;=10,"Жоғары",IF(G17&gt;=5,"Орта","Төмен")))</x:f>
        <x:v>Орта</x:v>
      </x:c>
      <x:c r="I17" s="14" t="str">
        <x:v>Ануар</x:v>
      </x:c>
      <x:c r="J17" s="14" t="str">
        <x:v>Азайту</x:v>
      </x:c>
      <x:c r="K17" s="14" t="str">
        <x:v>22.10.2026-ға дейін шешім жоқ</x:v>
      </x:c>
      <x:c r="L17" s="14" t="str">
        <x:v>2 нұсқаны салыстыру, шешімді оқытушымен бекіту</x:v>
      </x:c>
      <x:c r="M17" s="27" t="str">
        <x:v>21.10.2026</x:v>
      </x:c>
      <x:c r="N17" s="14" t="str">
        <x:v>Ашық</x:v>
      </x:c>
      <x:c r="O17" s="26" t="n">
        <x:v>2</x:v>
      </x:c>
      <x:c r="P17" s="26" t="n">
        <x:v>3</x:v>
      </x:c>
      <x:c r="Q17" s="14" t="n">
        <x:f>O17*P17</x:f>
        <x:v>6</x:v>
      </x:c>
      <x:c r="R17" s="14" t="str"/>
    </x:row>
    <x:row r="18" ht="15" hidden="0" customHeight="1">
      <x:c r="A18" s="14" t="str">
        <x:v>R14</x:v>
      </x:c>
      <x:c r="B18" s="14" t="str">
        <x:v>Дерек</x:v>
      </x:c>
      <x:c r="C18" s="14" t="str">
        <x:v>сыртқы үлгі дерек нақты клубқа сәйкес келмесе</x:v>
      </x:c>
      <x:c r="D18" s="14" t="str">
        <x:v>қаржылық/өнімдік шешім қате болады</x:v>
      </x:c>
      <x:c r="E18" s="26" t="n">
        <x:v>4</x:v>
      </x:c>
      <x:c r="F18" s="26" t="n">
        <x:v>3</x:v>
      </x:c>
      <x:c r="G18" s="15" t="n">
        <x:f>E18*F18</x:f>
        <x:v>12</x:v>
      </x:c>
      <x:c r="H18" s="29" t="str">
        <x:f>IF(G18&gt;=15,"Критикалық",IF(G18&gt;=10,"Жоғары",IF(G18&gt;=5,"Орта","Төмен")))</x:f>
        <x:v>Жоғары</x:v>
      </x:c>
      <x:c r="I18" s="14" t="str">
        <x:v>Айдос</x:v>
      </x:c>
      <x:c r="J18" s="14" t="str">
        <x:v>Қабылдау/азайту</x:v>
      </x:c>
      <x:c r="K18" s="14" t="str">
        <x:v>нақты мән болжамнан ±20% ауытқиды</x:v>
      </x:c>
      <x:c r="L18" s="14" t="str">
        <x:v>болжамды белгілеу, сезімталдық, пилот дерегімен қайта есептеу</x:v>
      </x:c>
      <x:c r="M18" s="27" t="str">
        <x:v>28.10.2026</x:v>
      </x:c>
      <x:c r="N18" s="14" t="str">
        <x:v>Ашық</x:v>
      </x:c>
      <x:c r="O18" s="26" t="n">
        <x:v>3</x:v>
      </x:c>
      <x:c r="P18" s="26" t="n">
        <x:v>3</x:v>
      </x:c>
      <x:c r="Q18" s="14" t="n">
        <x:f>O18*P18</x:f>
        <x:v>9</x:v>
      </x:c>
      <x:c r="R18" s="14" t="str"/>
    </x:row>
    <x:row r="19" ht="21.600000381469727" hidden="0" customHeight="1">
      <x:c r="A19" s="14" t="str">
        <x:v>R15</x:v>
      </x:c>
      <x:c r="B19" s="14" t="str">
        <x:v>Scope</x:v>
      </x:c>
      <x:c r="C19" s="14" t="str">
        <x:v>төлем, push және басқа функциялар MVP-ге қосыла берсе</x:v>
      </x:c>
      <x:c r="D19" s="14" t="str">
        <x:v>мерзім мен сапа нашарлайды</x:v>
      </x:c>
      <x:c r="E19" s="26" t="n">
        <x:v>3</x:v>
      </x:c>
      <x:c r="F19" s="26" t="n">
        <x:v>4</x:v>
      </x:c>
      <x:c r="G19" s="15" t="n">
        <x:f>E19*F19</x:f>
        <x:v>12</x:v>
      </x:c>
      <x:c r="H19" s="29" t="str">
        <x:f>IF(G19&gt;=15,"Критикалық",IF(G19&gt;=10,"Жоғары",IF(G19&gt;=5,"Орта","Төмен")))</x:f>
        <x:v>Жоғары</x:v>
      </x:c>
      <x:c r="I19" s="14" t="str">
        <x:v>Ануар</x:v>
      </x:c>
      <x:c r="J19" s="14" t="str">
        <x:v>Болдырмау</x:v>
      </x:c>
      <x:c r="K19" s="14" t="str">
        <x:v>sprint ішінде бекітілмеген функция пайда болды</x:v>
      </x:c>
      <x:c r="L19" s="14" t="str">
        <x:v>scope baseline, change request, MoSCoW</x:v>
      </x:c>
      <x:c r="M19" s="27" t="str">
        <x:v>21.10.2026</x:v>
      </x:c>
      <x:c r="N19" s="14" t="str">
        <x:v>Ашық</x:v>
      </x:c>
      <x:c r="O19" s="26" t="n">
        <x:v>2</x:v>
      </x:c>
      <x:c r="P19" s="26" t="n">
        <x:v>3</x:v>
      </x:c>
      <x:c r="Q19" s="14" t="n">
        <x:f>O19*P19</x:f>
        <x:v>6</x:v>
      </x:c>
      <x:c r="R19" s="14" t="str"/>
    </x:row>
    <x:row r="20" ht="21.600000381469727" hidden="0" customHeight="1">
      <x:c r="A20" s="14" t="str">
        <x:v>R16</x:v>
      </x:c>
      <x:c r="B20" s="14" t="str">
        <x:v>Дерек</x:v>
      </x:c>
      <x:c r="C20" s="14" t="str">
        <x:v>бастапқы Excel/қағаз дерегі лас болса</x:v>
      </x:c>
      <x:c r="D20" s="14" t="str">
        <x:v>миграцияда клиент жазбалары жоғалады/қайталанады</x:v>
      </x:c>
      <x:c r="E20" s="26" t="n">
        <x:v>3</x:v>
      </x:c>
      <x:c r="F20" s="26" t="n">
        <x:v>4</x:v>
      </x:c>
      <x:c r="G20" s="15" t="n">
        <x:f>E20*F20</x:f>
        <x:v>12</x:v>
      </x:c>
      <x:c r="H20" s="29" t="str">
        <x:f>IF(G20&gt;=15,"Критикалық",IF(G20&gt;=10,"Жоғары",IF(G20&gt;=5,"Орта","Төмен")))</x:f>
        <x:v>Жоғары</x:v>
      </x:c>
      <x:c r="I20" s="14" t="str">
        <x:v>Әділбек</x:v>
      </x:c>
      <x:c r="J20" s="14" t="str">
        <x:v>Азайту</x:v>
      </x:c>
      <x:c r="K20" s="14" t="str">
        <x:v>duplicate &gt;2% немесе міндетті өріс бос</x:v>
      </x:c>
      <x:c r="L20" s="14" t="str">
        <x:v>dry-run, валидация есебі, rollback көшірмесі</x:v>
      </x:c>
      <x:c r="M20" s="27" t="str">
        <x:v>28.10.2026</x:v>
      </x:c>
      <x:c r="N20" s="14" t="str">
        <x:v>Ашық</x:v>
      </x:c>
      <x:c r="O20" s="26" t="n">
        <x:v>2</x:v>
      </x:c>
      <x:c r="P20" s="26" t="n">
        <x:v>3</x:v>
      </x:c>
      <x:c r="Q20" s="14" t="n">
        <x:f>O20*P20</x:f>
        <x:v>6</x:v>
      </x:c>
      <x:c r="R20" s="14" t="str"/>
    </x:row>
    <x:row r="21" ht="15" hidden="0" customHeight="1">
      <x:c r="A21" s="14" t="str">
        <x:v>R17</x:v>
      </x:c>
      <x:c r="B21" s="14" t="str">
        <x:v>Сәйкестік</x:v>
      </x:c>
      <x:c r="C21" s="14" t="str">
        <x:v>келісім және сақтау мерзімі бекітілмесе</x:v>
      </x:c>
      <x:c r="D21" s="14" t="str">
        <x:v>жеке дерек заңсыз не артық сақталуы мүмкін</x:v>
      </x:c>
      <x:c r="E21" s="26" t="n">
        <x:v>3</x:v>
      </x:c>
      <x:c r="F21" s="26" t="n">
        <x:v>4</x:v>
      </x:c>
      <x:c r="G21" s="15" t="n">
        <x:f>E21*F21</x:f>
        <x:v>12</x:v>
      </x:c>
      <x:c r="H21" s="29" t="str">
        <x:f>IF(G21&gt;=15,"Критикалық",IF(G21&gt;=10,"Жоғары",IF(G21&gt;=5,"Орта","Төмен")))</x:f>
        <x:v>Жоғары</x:v>
      </x:c>
      <x:c r="I21" s="14" t="str">
        <x:v>Ануар</x:v>
      </x:c>
      <x:c r="J21" s="14" t="str">
        <x:v>Болдырмау</x:v>
      </x:c>
      <x:c r="K21" s="14" t="str">
        <x:v>пилотқа дейін мақұлданған негіз/мерзім жоқ</x:v>
      </x:c>
      <x:c r="L21" s="14" t="str">
        <x:v>consent/contract негізін бекіту, retention рәсімі</x:v>
      </x:c>
      <x:c r="M21" s="27" t="str">
        <x:v>21.10.2026</x:v>
      </x:c>
      <x:c r="N21" s="14" t="str">
        <x:v>Ашық</x:v>
      </x:c>
      <x:c r="O21" s="26" t="n">
        <x:v>2</x:v>
      </x:c>
      <x:c r="P21" s="26" t="n">
        <x:v>4</x:v>
      </x:c>
      <x:c r="Q21" s="14" t="n">
        <x:f>O21*P21</x:f>
        <x:v>8</x:v>
      </x:c>
      <x:c r="R21" s="14" t="str"/>
    </x:row>
    <x:row r="22" ht="15" hidden="0" customHeight="1">
      <x:c r="A22" s="14" t="str">
        <x:v>R18</x:v>
      </x:c>
      <x:c r="B22" s="14" t="str">
        <x:v>Үздіксіздік</x:v>
      </x:c>
      <x:c r="C22" s="14" t="str">
        <x:v>backup өндірістік сервермен бірге сақталса</x:v>
      </x:c>
      <x:c r="D22" s="14" t="str">
        <x:v>бір ақау негізгі және көшірме деректі жояды</x:v>
      </x:c>
      <x:c r="E22" s="26" t="n">
        <x:v>2</x:v>
      </x:c>
      <x:c r="F22" s="26" t="n">
        <x:v>5</x:v>
      </x:c>
      <x:c r="G22" s="15" t="n">
        <x:f>E22*F22</x:f>
        <x:v>10</x:v>
      </x:c>
      <x:c r="H22" s="29" t="str">
        <x:f>IF(G22&gt;=15,"Критикалық",IF(G22&gt;=10,"Жоғары",IF(G22&gt;=5,"Орта","Төмен")))</x:f>
        <x:v>Жоғары</x:v>
      </x:c>
      <x:c r="I22" s="14" t="str">
        <x:v>Айдос</x:v>
      </x:c>
      <x:c r="J22" s="14" t="str">
        <x:v>Азайту</x:v>
      </x:c>
      <x:c r="K22" s="14" t="str">
        <x:v>backup бір storage/credential қолданады</x:v>
      </x:c>
      <x:c r="L22" s="14" t="str">
        <x:v>бөлек storage/account, шифрлау, restore-тест</x:v>
      </x:c>
      <x:c r="M22" s="27" t="str">
        <x:v>28.10.2026</x:v>
      </x:c>
      <x:c r="N22" s="14" t="str">
        <x:v>Ашық</x:v>
      </x:c>
      <x:c r="O22" s="26" t="n">
        <x:v>1</x:v>
      </x:c>
      <x:c r="P22" s="26" t="n">
        <x:v>5</x:v>
      </x:c>
      <x:c r="Q22" s="14" t="n">
        <x:f>O22*P22</x:f>
        <x:v>5</x:v>
      </x:c>
      <x:c r="R22" s="14" t="str"/>
    </x:row>
    <x:row r="23" ht="15" hidden="0" customHeight="1">
      <x:c r="A23" s="14" t="str">
        <x:v>R19</x:v>
      </x:c>
      <x:c r="B23" s="14" t="str">
        <x:v>AI</x:v>
      </x:c>
      <x:c r="C23" s="14" t="str">
        <x:v>кейін AI ұсынысы қосылып, бағалау жасалмаса</x:v>
      </x:c>
      <x:c r="D23" s="14" t="str">
        <x:v>қате не түсіндірілмейтін шешім пайда болады</x:v>
      </x:c>
      <x:c r="E23" s="26" t="n">
        <x:v>2</x:v>
      </x:c>
      <x:c r="F23" s="26" t="n">
        <x:v>3</x:v>
      </x:c>
      <x:c r="G23" s="15" t="n">
        <x:f>E23*F23</x:f>
        <x:v>6</x:v>
      </x:c>
      <x:c r="H23" s="26" t="str">
        <x:f>IF(G23&gt;=15,"Критикалық",IF(G23&gt;=10,"Жоғары",IF(G23&gt;=5,"Орта","Төмен")))</x:f>
        <x:v>Орта</x:v>
      </x:c>
      <x:c r="I23" s="14" t="str">
        <x:v>Ануар</x:v>
      </x:c>
      <x:c r="J23" s="14" t="str">
        <x:v>Болдырмау</x:v>
      </x:c>
      <x:c r="K23" s="14" t="str">
        <x:v>backlog-та AI/ML story пайда болды</x:v>
      </x:c>
      <x:c r="L23" s="14" t="str">
        <x:v>жаңа тәуекел бағалауы және human review</x:v>
      </x:c>
      <x:c r="M23" s="27" t="str">
        <x:v>04.11.2026</x:v>
      </x:c>
      <x:c r="N23" s="14" t="str">
        <x:v>Ашық</x:v>
      </x:c>
      <x:c r="O23" s="26" t="n">
        <x:v>1</x:v>
      </x:c>
      <x:c r="P23" s="26" t="n">
        <x:v>3</x:v>
      </x:c>
      <x:c r="Q23" s="14" t="n">
        <x:f>O23*P23</x:f>
        <x:v>3</x:v>
      </x:c>
      <x:c r="R23" s="14" t="str"/>
    </x:row>
    <x:row r="24" ht="15" hidden="0" customHeight="1">
      <x:c r="A24" s="14" t="str">
        <x:v>R20</x:v>
      </x:c>
      <x:c r="B24" s="14" t="str">
        <x:v>Қолжетімділік</x:v>
      </x:c>
      <x:c r="C24" s="14" t="str">
        <x:v>GitHub құқықтары тым кең болса</x:v>
      </x:c>
      <x:c r="D24" s="14" t="str">
        <x:v>файлдар кездейсоқ не әдейі өзгереді</x:v>
      </x:c>
      <x:c r="E24" s="26" t="n">
        <x:v>2</x:v>
      </x:c>
      <x:c r="F24" s="26" t="n">
        <x:v>4</x:v>
      </x:c>
      <x:c r="G24" s="15" t="n">
        <x:f>E24*F24</x:f>
        <x:v>8</x:v>
      </x:c>
      <x:c r="H24" s="26" t="str">
        <x:f>IF(G24&gt;=15,"Критикалық",IF(G24&gt;=10,"Жоғары",IF(G24&gt;=5,"Орта","Төмен")))</x:f>
        <x:v>Орта</x:v>
      </x:c>
      <x:c r="I24" s="14" t="str">
        <x:v>Айдос</x:v>
      </x:c>
      <x:c r="J24" s="14" t="str">
        <x:v>Азайту</x:v>
      </x:c>
      <x:c r="K24" s="14" t="str">
        <x:v>қажетсіз write/admin рөлі</x:v>
      </x:c>
      <x:c r="L24" s="14" t="str">
        <x:v>least privilege, branch protection, review</x:v>
      </x:c>
      <x:c r="M24" s="27" t="str">
        <x:v>28.10.2026</x:v>
      </x:c>
      <x:c r="N24" s="14" t="str">
        <x:v>Ашық</x:v>
      </x:c>
      <x:c r="O24" s="26" t="n">
        <x:v>1</x:v>
      </x:c>
      <x:c r="P24" s="26" t="n">
        <x:v>4</x:v>
      </x:c>
      <x:c r="Q24" s="14" t="n">
        <x:f>O24*P24</x:f>
        <x:v>4</x:v>
      </x:c>
      <x:c r="R24" s="14" t="str"/>
    </x:row>
    <x:row r="25" ht="15" hidden="0" customHeight="1">
      <x:c r="A25" s="14" t="str">
        <x:v>R21</x:v>
      </x:c>
      <x:c r="B25" s="14" t="str">
        <x:v>Қолжетімділік</x:v>
      </x:c>
      <x:c r="C25" s="14" t="str">
        <x:v>сервис істен шықса</x:v>
      </x:c>
      <x:c r="D25" s="14" t="str">
        <x:v>әкімші тіркеу мен кестені қолдана алмайды</x:v>
      </x:c>
      <x:c r="E25" s="26" t="n">
        <x:v>3</x:v>
      </x:c>
      <x:c r="F25" s="26" t="n">
        <x:v>3</x:v>
      </x:c>
      <x:c r="G25" s="15" t="n">
        <x:f>E25*F25</x:f>
        <x:v>9</x:v>
      </x:c>
      <x:c r="H25" s="26" t="str">
        <x:f>IF(G25&gt;=15,"Критикалық",IF(G25&gt;=10,"Жоғары",IF(G25&gt;=5,"Орта","Төмен")))</x:f>
        <x:v>Орта</x:v>
      </x:c>
      <x:c r="I25" s="14" t="str">
        <x:v>Айдос</x:v>
      </x:c>
      <x:c r="J25" s="14" t="str">
        <x:v>Азайту</x:v>
      </x:c>
      <x:c r="K25" s="14" t="str">
        <x:v>health-check 5 мин қате немесе SLA бұзылды</x:v>
      </x:c>
      <x:c r="L25" s="14" t="str">
        <x:v>health-check, rollback, status хабарлау</x:v>
      </x:c>
      <x:c r="M25" s="27" t="str">
        <x:v>28.10.2026</x:v>
      </x:c>
      <x:c r="N25" s="14" t="str">
        <x:v>Ашық</x:v>
      </x:c>
      <x:c r="O25" s="26" t="n">
        <x:v>2</x:v>
      </x:c>
      <x:c r="P25" s="26" t="n">
        <x:v>3</x:v>
      </x:c>
      <x:c r="Q25" s="14" t="n">
        <x:f>O25*P25</x:f>
        <x:v>6</x:v>
      </x:c>
      <x:c r="R25" s="14" t="str"/>
    </x:row>
    <x:row r="26" ht="15" hidden="0" customHeight="1">
      <x:c r="A26" s="14" t="str">
        <x:v>R22</x:v>
      </x:c>
      <x:c r="B26" s="14" t="str">
        <x:v>UX</x:v>
      </x:c>
      <x:c r="C26" s="14" t="str">
        <x:v>қазақша/орысша атаулар қате аударылса</x:v>
      </x:c>
      <x:c r="D26" s="14" t="str">
        <x:v>пайдаланушы операцияны қате түсінеді</x:v>
      </x:c>
      <x:c r="E26" s="26" t="n">
        <x:v>3</x:v>
      </x:c>
      <x:c r="F26" s="26" t="n">
        <x:v>2</x:v>
      </x:c>
      <x:c r="G26" s="15" t="n">
        <x:f>E26*F26</x:f>
        <x:v>6</x:v>
      </x:c>
      <x:c r="H26" s="26" t="str">
        <x:f>IF(G26&gt;=15,"Критикалық",IF(G26&gt;=10,"Жоғары",IF(G26&gt;=5,"Орта","Төмен")))</x:f>
        <x:v>Орта</x:v>
      </x:c>
      <x:c r="I26" s="14" t="str">
        <x:v>Әділбек</x:v>
      </x:c>
      <x:c r="J26" s="14" t="str">
        <x:v>Азайту</x:v>
      </x:c>
      <x:c r="K26" s="14" t="str">
        <x:v>UAT-та термин бойынша 2+ ескерту</x:v>
      </x:c>
      <x:c r="L26" s="14" t="str">
        <x:v>glossary, екі тілдік QA, мәтінді бекіту</x:v>
      </x:c>
      <x:c r="M26" s="27" t="str">
        <x:v>04.11.2026</x:v>
      </x:c>
      <x:c r="N26" s="14" t="str">
        <x:v>Ашық</x:v>
      </x:c>
      <x:c r="O26" s="26" t="n">
        <x:v>2</x:v>
      </x:c>
      <x:c r="P26" s="26" t="n">
        <x:v>2</x:v>
      </x:c>
      <x:c r="Q26" s="14" t="n">
        <x:f>O26*P26</x:f>
        <x:v>4</x:v>
      </x:c>
      <x:c r="R26" s="14" t="str"/>
    </x:row>
    <x:row r="27" ht="15" hidden="0" customHeight="1">
      <x:c r="A27" s="14" t="str">
        <x:v>R23</x:v>
      </x:c>
      <x:c r="B27" s="14" t="str">
        <x:v>Сапа</x:v>
      </x:c>
      <x:c r="C27" s="14" t="str">
        <x:v>тест пен қабылдау дәлелі сақталмаса</x:v>
      </x:c>
      <x:c r="D27" s="14" t="str">
        <x:v>функция бар болса да ЛЗ қабылданбайды</x:v>
      </x:c>
      <x:c r="E27" s="26" t="n">
        <x:v>3</x:v>
      </x:c>
      <x:c r="F27" s="26" t="n">
        <x:v>4</x:v>
      </x:c>
      <x:c r="G27" s="15" t="n">
        <x:f>E27*F27</x:f>
        <x:v>12</x:v>
      </x:c>
      <x:c r="H27" s="29" t="str">
        <x:f>IF(G27&gt;=15,"Критикалық",IF(G27&gt;=10,"Жоғары",IF(G27&gt;=5,"Орта","Төмен")))</x:f>
        <x:v>Жоғары</x:v>
      </x:c>
      <x:c r="I27" s="14" t="str">
        <x:v>Әділбек</x:v>
      </x:c>
      <x:c r="J27" s="14" t="str">
        <x:v>Азайту</x:v>
      </x:c>
      <x:c r="K27" s="14" t="str">
        <x:v>story-де screenshot/log/test result жоқ</x:v>
      </x:c>
      <x:c r="L27" s="14" t="str">
        <x:v>Definition of Done-ға evidence қосу</x:v>
      </x:c>
      <x:c r="M27" s="27" t="str">
        <x:v>21.10.2026</x:v>
      </x:c>
      <x:c r="N27" s="14" t="str">
        <x:v>Ашық</x:v>
      </x:c>
      <x:c r="O27" s="26" t="n">
        <x:v>2</x:v>
      </x:c>
      <x:c r="P27" s="26" t="n">
        <x:v>3</x:v>
      </x:c>
      <x:c r="Q27" s="14" t="n">
        <x:f>O27*P27</x:f>
        <x:v>6</x:v>
      </x:c>
      <x:c r="R27" s="14" t="str"/>
    </x:row>
    <x:row r="28" ht="15" hidden="0" customHeight="1">
      <x:c r="A28" s="14" t="str">
        <x:v>R24</x:v>
      </x:c>
      <x:c r="B28" s="14" t="str">
        <x:v>Кесте</x:v>
      </x:c>
      <x:c r="C28" s="14" t="str">
        <x:v>емтихан/басқа пән жүктемесі өссе</x:v>
      </x:c>
      <x:c r="D28" s="14" t="str">
        <x:v>sprint тапсырмалары кешігеді</x:v>
      </x:c>
      <x:c r="E28" s="26" t="n">
        <x:v>4</x:v>
      </x:c>
      <x:c r="F28" s="26" t="n">
        <x:v>3</x:v>
      </x:c>
      <x:c r="G28" s="15" t="n">
        <x:f>E28*F28</x:f>
        <x:v>12</x:v>
      </x:c>
      <x:c r="H28" s="29" t="str">
        <x:f>IF(G28&gt;=15,"Критикалық",IF(G28&gt;=10,"Жоғары",IF(G28&gt;=5,"Орта","Төмен")))</x:f>
        <x:v>Жоғары</x:v>
      </x:c>
      <x:c r="I28" s="14" t="str">
        <x:v>Айдос</x:v>
      </x:c>
      <x:c r="J28" s="14" t="str">
        <x:v>Азайту</x:v>
      </x:c>
      <x:c r="K28" s="14" t="str">
        <x:v>2 күн қатарынан жоспарланған жұмыс орындалмады</x:v>
      </x:c>
      <x:c r="L28" s="14" t="str">
        <x:v>буфер, WIP лимиті, міндетті қайта жоспарлау</x:v>
      </x:c>
      <x:c r="M28" s="27" t="str">
        <x:v>14.10.2026</x:v>
      </x:c>
      <x:c r="N28" s="14" t="str">
        <x:v>Ашық</x:v>
      </x:c>
      <x:c r="O28" s="26" t="n">
        <x:v>3</x:v>
      </x:c>
      <x:c r="P28" s="26" t="n">
        <x:v>2</x:v>
      </x:c>
      <x:c r="Q28" s="14" t="n">
        <x:f>O28*P28</x:f>
        <x:v>6</x:v>
      </x:c>
      <x:c r="R28" s="14" t="str"/>
    </x:row>
  </x:sheetData>
  <x:mergeCells>
    <x:mergeCell ref="A1:R1"/>
    <x:mergeCell ref="A2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30" hidden="0" customWidth="1"/>
    <x:col min="4" max="4" width="28" hidden="0" customWidth="1"/>
    <x:col min="5" max="5" width="38" hidden="0" customWidth="1"/>
    <x:col min="6" max="6" width="36" hidden="0" customWidth="1"/>
    <x:col min="7" max="7" width="42" hidden="0" customWidth="1"/>
    <x:col min="8" max="8" width="13" hidden="0" customWidth="1"/>
    <x:col min="9" max="9" width="14" hidden="0" customWidth="1"/>
    <x:col min="10" max="10" width="14" hidden="0" customWidth="1"/>
  </x:cols>
  <x:sheetData>
    <x:row r="1" ht="24" hidden="0" customHeight="1">
      <x:c r="A1" s="3" t="str">
        <x:v>Top-5 тәуекел — егжей-тегжейлі жоспар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 ht="15" hidden="0" customHeight="1">
      <x:c r="A2" s="5" t="str">
        <x:v>Алдын алу және trigger орындалса contingency жоспары бөлек көрсетілді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  <x:c r="I3" s="34"/>
      <x:c r="J3" s="34"/>
    </x:row>
    <x:row r="4" ht="15" hidden="0" customHeight="1">
      <x:c r="A4" s="10" t="str">
        <x:v>ID</x:v>
      </x:c>
      <x:c r="B4" s="10" t="str">
        <x:v>Тәуекел</x:v>
      </x:c>
      <x:c r="C4" s="10" t="str">
        <x:v>Себеп</x:v>
      </x:c>
      <x:c r="D4" s="10" t="str">
        <x:v>Салдар</x:v>
      </x:c>
      <x:c r="E4" s="10" t="str">
        <x:v>Алдын алу</x:v>
      </x:c>
      <x:c r="F4" s="10" t="str">
        <x:v>Trigger</x:v>
      </x:c>
      <x:c r="G4" s="10" t="str">
        <x:v>Trigger болғандағы жауап</x:v>
      </x:c>
      <x:c r="H4" s="10" t="str">
        <x:v>Иесі</x:v>
      </x:c>
      <x:c r="I4" s="10" t="str">
        <x:v>Мерзім</x:v>
      </x:c>
      <x:c r="J4" s="10" t="str">
        <x:v>Қалдық ұпай</x:v>
      </x:c>
    </x:row>
    <x:row r="5" ht="15" hidden="0" customHeight="1">
      <x:c r="A5" s="14" t="str">
        <x:v>R01</x:v>
      </x:c>
      <x:c r="B5" s="14" t="str">
        <x:v>Рұқсатсыз қол жеткізу</x:v>
      </x:c>
      <x:c r="C5" s="14" t="str">
        <x:v>RBAC/rate-limit/session толық емес</x:v>
      </x:c>
      <x:c r="D5" s="14" t="str">
        <x:v>жеке дерек ашылады</x:v>
      </x:c>
      <x:c r="E5" s="14" t="str">
        <x:v>серверлік RBAC, secure cookie, теріс тест</x:v>
      </x:c>
      <x:c r="F5" s="14" t="str">
        <x:v>API 200 немесе 5+ сәтсіз кіру/10 мин</x:v>
      </x:c>
      <x:c r="G5" s="14" t="str">
        <x:v>сессияны тоқтату, логты сақтау, құқықты түзету</x:v>
      </x:c>
      <x:c r="H5" s="14" t="str">
        <x:v>Айдос</x:v>
      </x:c>
      <x:c r="I5" s="14" t="str">
        <x:v>22.10.2026</x:v>
      </x:c>
      <x:c r="J5" s="14" t="n">
        <x:v>10</x:v>
      </x:c>
    </x:row>
    <x:row r="6" ht="15" hidden="0" customHeight="1">
      <x:c r="A6" s="14" t="str">
        <x:v>R04</x:v>
      </x:c>
      <x:c r="B6" s="14" t="str">
        <x:v>Талап түсініксіз</x:v>
      </x:c>
      <x:c r="C6" s="14" t="str">
        <x:v>ауызша талап әртүрлі түсіндіріледі</x:v>
      </x:c>
      <x:c r="D6" s="14" t="str">
        <x:v>ЛЗ қабылданбайды</x:v>
      </x:c>
      <x:c r="E6" s="14" t="str">
        <x:v>decision log, acceptance checklist</x:v>
      </x:c>
      <x:c r="F6" s="14" t="str">
        <x:v>жауапсыз сұрақ немесе қайшы пікір</x:v>
      </x:c>
      <x:c r="G6" s="14" t="str">
        <x:v>scope/backlog жаңарту және жазбаша нақтылау</x:v>
      </x:c>
      <x:c r="H6" s="14" t="str">
        <x:v>Ануар</x:v>
      </x:c>
      <x:c r="I6" s="14" t="str">
        <x:v>14.10.2026</x:v>
      </x:c>
      <x:c r="J6" s="14" t="n">
        <x:v>6</x:v>
      </x:c>
    </x:row>
    <x:row r="7" ht="15" hidden="0" customHeight="1">
      <x:c r="A7" s="14" t="str">
        <x:v>R05</x:v>
      </x:c>
      <x:c r="B7" s="14" t="str">
        <x:v>Бір адамға тәуелділік</x:v>
      </x:c>
      <x:c r="C7" s="14" t="str">
        <x:v>архитектураны бір адам біледі</x:v>
      </x:c>
      <x:c r="D7" s="14" t="str">
        <x:v>жұмыс тоқтайды</x:v>
      </x:c>
      <x:c r="E7" s="14" t="str">
        <x:v>README, handoff, шағын өзгеріс</x:v>
      </x:c>
      <x:c r="F7" s="14" t="str">
        <x:v>blocker &gt;2 күн</x:v>
      </x:c>
      <x:c r="G7" s="14" t="str">
        <x:v>scope қысқарту, резервтік иеге беру</x:v>
      </x:c>
      <x:c r="H7" s="14" t="str">
        <x:v>Айдос</x:v>
      </x:c>
      <x:c r="I7" s="14" t="str">
        <x:v>21.10.2026</x:v>
      </x:c>
      <x:c r="J7" s="14" t="n">
        <x:v>6</x:v>
      </x:c>
    </x:row>
    <x:row r="8" ht="15" hidden="0" customHeight="1">
      <x:c r="A8" s="14" t="str">
        <x:v>R02</x:v>
      </x:c>
      <x:c r="B8" s="14" t="str">
        <x:v>Жеке дерек таралуы</x:v>
      </x:c>
      <x:c r="C8" s="14" t="str">
        <x:v>экспорт/лог/backup ашық</x:v>
      </x:c>
      <x:c r="D8" s="14" t="str">
        <x:v>құқықтық және беделдік шығын</x:v>
      </x:c>
      <x:c r="E8" s="14" t="str">
        <x:v>минимизация, маскалау, синтетика</x:v>
      </x:c>
      <x:c r="F8" s="14" t="str">
        <x:v>телефон/token/толық экспорт табылады</x:v>
      </x:c>
      <x:c r="G8" s="14" t="str">
        <x:v>қолды жабу, кілт ауыстыру, ауқымды анықтау</x:v>
      </x:c>
      <x:c r="H8" s="14" t="str">
        <x:v>Әділбек</x:v>
      </x:c>
      <x:c r="I8" s="14" t="str">
        <x:v>05.11.2026</x:v>
      </x:c>
      <x:c r="J8" s="14" t="n">
        <x:v>10</x:v>
      </x:c>
    </x:row>
    <x:row r="9" ht="15" hidden="0" customHeight="1">
      <x:c r="A9" s="14" t="str">
        <x:v>R03</x:v>
      </x:c>
      <x:c r="B9" s="14" t="str">
        <x:v>Қалпына келмеу</x:v>
      </x:c>
      <x:c r="C9" s="14" t="str">
        <x:v>backup бөлек емес/restore жоқ</x:v>
      </x:c>
      <x:c r="D9" s="14" t="str">
        <x:v>жазбалар жоғалады</x:v>
      </x:c>
      <x:c r="E9" s="14" t="str">
        <x:v>күнделікті бөлек backup, restore-тест</x:v>
      </x:c>
      <x:c r="F9" s="14" t="str">
        <x:v>backup &gt;24 сағ немесе тест жоқ</x:v>
      </x:c>
      <x:c r="G9" s="14" t="str">
        <x:v>өзгерісті тоқтату, таза көшірмені қалпына келтіру</x:v>
      </x:c>
      <x:c r="H9" s="14" t="str">
        <x:v>Айдос</x:v>
      </x:c>
      <x:c r="I9" s="14" t="str">
        <x:v>05.11.2026</x:v>
      </x:c>
      <x:c r="J9" s="14" t="n">
        <x:v>8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25" hidden="0" customWidth="1"/>
    <x:col min="4" max="4" width="14" hidden="0" customWidth="1"/>
    <x:col min="5" max="5" width="8" hidden="0" customWidth="1"/>
    <x:col min="6" max="6" width="8" hidden="0" customWidth="1"/>
    <x:col min="7" max="7" width="48" hidden="0" customWidth="1"/>
    <x:col min="8" max="8" width="14" hidden="0" customWidth="1"/>
  </x:cols>
  <x:sheetData>
    <x:row r="1" ht="24" hidden="0" customHeight="1">
      <x:c r="A1" s="3" t="str">
        <x:v>STRIDE — аутентификация компоненті</x:v>
      </x:c>
      <x:c r="B1" s="34"/>
      <x:c r="C1" s="34"/>
      <x:c r="D1" s="34"/>
      <x:c r="E1" s="34"/>
      <x:c r="F1" s="34"/>
      <x:c r="G1" s="34"/>
      <x:c r="H1" s="34"/>
    </x:row>
    <x:row r="2" ht="15" hidden="0" customHeight="1">
      <x:c r="A2" s="5" t="str">
        <x:v>Қамту: браузер → Auth/API → User DB және Session/Audit store</x:v>
      </x:c>
      <x:c r="B2" s="34"/>
      <x:c r="C2" s="34"/>
      <x:c r="D2" s="34"/>
      <x:c r="E2" s="34"/>
      <x:c r="F2" s="34"/>
      <x:c r="G2" s="34"/>
      <x:c r="H2" s="34"/>
    </x:row>
    <x:row r="3" ht="15" hidden="0" customHeight="1">
      <x:c r="A3" s="34"/>
      <x:c r="B3" s="34"/>
      <x:c r="C3" s="34"/>
      <x:c r="D3" s="34"/>
      <x:c r="E3" s="34"/>
      <x:c r="F3" s="34"/>
      <x:c r="G3" s="34"/>
      <x:c r="H3" s="34"/>
    </x:row>
    <x:row r="4" ht="15" hidden="0" customHeight="1">
      <x:c r="A4" s="10" t="str">
        <x:v>STRIDE</x:v>
      </x:c>
      <x:c r="B4" s="10" t="str">
        <x:v>Қауіп сценарийі</x:v>
      </x:c>
      <x:c r="C4" s="10" t="str">
        <x:v>Компонент</x:v>
      </x:c>
      <x:c r="D4" s="10" t="str">
        <x:v>RAID</x:v>
      </x:c>
      <x:c r="E4" s="10" t="str">
        <x:v>P</x:v>
      </x:c>
      <x:c r="F4" s="10" t="str">
        <x:v>I</x:v>
      </x:c>
      <x:c r="G4" s="10" t="str">
        <x:v>Бақылау</x:v>
      </x:c>
      <x:c r="H4" s="10" t="str">
        <x:v>Иесі</x:v>
      </x:c>
    </x:row>
    <x:row r="5" ht="15" hidden="0" customHeight="1">
      <x:c r="A5" s="14" t="str">
        <x:v>Spoofing</x:v>
      </x:c>
      <x:c r="B5" s="14" t="str">
        <x:v>ұрланған пароль немесе brute-force</x:v>
      </x:c>
      <x:c r="C5" s="14" t="str">
        <x:v>Login flow / Auth API</x:v>
      </x:c>
      <x:c r="D5" s="14" t="str">
        <x:v>R10, R01</x:v>
      </x:c>
      <x:c r="E5" s="26" t="n">
        <x:v>3</x:v>
      </x:c>
      <x:c r="F5" s="26" t="n">
        <x:v>4</x:v>
      </x:c>
      <x:c r="G5" s="14" t="str">
        <x:v>hash, rate-limit, lockout, generic error</x:v>
      </x:c>
      <x:c r="H5" s="14" t="str">
        <x:v>Айдос</x:v>
      </x:c>
    </x:row>
    <x:row r="6" ht="15" hidden="0" customHeight="1">
      <x:c r="A6" s="14" t="str">
        <x:v>Tampering</x:v>
      </x:c>
      <x:c r="B6" s="14" t="str">
        <x:v>role/session параметрін өзгерту</x:v>
      </x:c>
      <x:c r="C6" s="14" t="str">
        <x:v>Session / Auth API</x:v>
      </x:c>
      <x:c r="D6" s="14" t="str">
        <x:v>R01</x:v>
      </x:c>
      <x:c r="E6" s="26" t="n">
        <x:v>4</x:v>
      </x:c>
      <x:c r="F6" s="26" t="n">
        <x:v>5</x:v>
      </x:c>
      <x:c r="G6" s="14" t="str">
        <x:v>server-side RBAC, opaque session, validation</x:v>
      </x:c>
      <x:c r="H6" s="14" t="str">
        <x:v>Айдос</x:v>
      </x:c>
    </x:row>
    <x:row r="7" ht="15" hidden="0" customHeight="1">
      <x:c r="A7" s="14" t="str">
        <x:v>Repudiation</x:v>
      </x:c>
      <x:c r="B7" s="14" t="str">
        <x:v>әкімшілік өзгерісті жоққа шығару</x:v>
      </x:c>
      <x:c r="C7" s="14" t="str">
        <x:v>Audit log</x:v>
      </x:c>
      <x:c r="D7" s="14" t="str">
        <x:v>R11</x:v>
      </x:c>
      <x:c r="E7" s="26" t="n">
        <x:v>3</x:v>
      </x:c>
      <x:c r="F7" s="26" t="n">
        <x:v>4</x:v>
      </x:c>
      <x:c r="G7" s="14" t="str">
        <x:v>actor/time/request ID бар audit log</x:v>
      </x:c>
      <x:c r="H7" s="14" t="str">
        <x:v>Әділбек</x:v>
      </x:c>
    </x:row>
    <x:row r="8" ht="15" hidden="0" customHeight="1">
      <x:c r="A8" s="14" t="str">
        <x:v>Information disclosure</x:v>
      </x:c>
      <x:c r="B8" s="14" t="str">
        <x:v>лог, response, export-та телефон/token</x:v>
      </x:c>
      <x:c r="C8" s="14" t="str">
        <x:v>DB / flow / log</x:v>
      </x:c>
      <x:c r="D8" s="14" t="str">
        <x:v>R02, R11</x:v>
      </x:c>
      <x:c r="E8" s="26" t="n">
        <x:v>3</x:v>
      </x:c>
      <x:c r="F8" s="26" t="n">
        <x:v>5</x:v>
      </x:c>
      <x:c r="G8" s="14" t="str">
        <x:v>TLS, маскалау, minimization, least privilege</x:v>
      </x:c>
      <x:c r="H8" s="14" t="str">
        <x:v>Әділбек</x:v>
      </x:c>
    </x:row>
    <x:row r="9" ht="15" hidden="0" customHeight="1">
      <x:c r="A9" s="14" t="str">
        <x:v>Denial of service</x:v>
      </x:c>
      <x:c r="B9" s="14" t="str">
        <x:v>login endpoint-ке көп сұрау</x:v>
      </x:c>
      <x:c r="C9" s="14" t="str">
        <x:v>Auth API</x:v>
      </x:c>
      <x:c r="D9" s="14" t="str">
        <x:v>R21</x:v>
      </x:c>
      <x:c r="E9" s="26" t="n">
        <x:v>3</x:v>
      </x:c>
      <x:c r="F9" s="26" t="n">
        <x:v>3</x:v>
      </x:c>
      <x:c r="G9" s="14" t="str">
        <x:v>rate-limit, timeout, health-check, alert</x:v>
      </x:c>
      <x:c r="H9" s="14" t="str">
        <x:v>Айдос</x:v>
      </x:c>
    </x:row>
    <x:row r="10" ht="15" hidden="0" customHeight="1">
      <x:c r="A10" s="14" t="str">
        <x:v>Elevation of privilege</x:v>
      </x:c>
      <x:c r="B10" s="14" t="str">
        <x:v>менеджер әкімші API-ын шақырады</x:v>
      </x:c>
      <x:c r="C10" s="14" t="str">
        <x:v>Auth API</x:v>
      </x:c>
      <x:c r="D10" s="14" t="str">
        <x:v>R01</x:v>
      </x:c>
      <x:c r="E10" s="26" t="n">
        <x:v>4</x:v>
      </x:c>
      <x:c r="F10" s="26" t="n">
        <x:v>5</x:v>
      </x:c>
      <x:c r="G10" s="14" t="str">
        <x:v>deny-by-default, permission matrix, negative tests</x:v>
      </x:c>
      <x:c r="H10" s="14" t="str">
        <x:v>Айдос</x:v>
      </x:c>
    </x:row>
    <x:row r="11" ht="15" hidden="0" customHeight="1">
      <x:c r="A11" s="34"/>
      <x:c r="B11" s="34"/>
      <x:c r="C11" s="34"/>
      <x:c r="D11" s="34"/>
      <x:c r="E11" s="34"/>
      <x:c r="F11" s="34"/>
      <x:c r="G11" s="34"/>
      <x:c r="H11" s="34"/>
    </x:row>
    <x:row r="12" ht="15" hidden="0" customHeight="1">
      <x:c r="A12" s="31" t="str">
        <x:v>Threat Dragon: ThreatDragonModels/FitClub-Authentication/FitClub-Authentication.json — ресми schema бойынша тексерілді.</x:v>
      </x:c>
      <x:c r="B12" s="34"/>
      <x:c r="C12" s="34"/>
      <x:c r="D12" s="34"/>
      <x:c r="E12" s="34"/>
      <x:c r="F12" s="34"/>
      <x:c r="G12" s="34"/>
      <x:c r="H12" s="34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55" hidden="0" customWidth="1"/>
    <x:col min="3" max="3" width="18" hidden="0" customWidth="1"/>
    <x:col min="4" max="4" width="13" hidden="0" customWidth="1"/>
    <x:col min="5" max="5" width="14" hidden="0" customWidth="1"/>
    <x:col min="6" max="6" width="28" hidden="0" customWidth="1"/>
    <x:col min="7" max="7" width="22" hidden="0" customWidth="1"/>
  </x:cols>
  <x:sheetData>
    <x:row r="1" ht="24" hidden="0" customHeight="1">
      <x:c r="A1" s="3" t="str">
        <x:v>Жеке деректер және AI сәйкестігі</x:v>
      </x:c>
      <x:c r="B1" s="34"/>
      <x:c r="C1" s="34"/>
      <x:c r="D1" s="34"/>
      <x:c r="E1" s="34"/>
      <x:c r="F1" s="34"/>
      <x:c r="G1" s="34"/>
    </x:row>
    <x:row r="2" ht="15" hidden="0" customHeight="1">
      <x:c r="A2" s="5" t="str">
        <x:v>Оқу жобасына арналған бастапқы чек-парақ; production алдында оператор/жауапты тұлға бекітеді</x:v>
      </x:c>
      <x:c r="B2" s="34"/>
      <x:c r="C2" s="34"/>
      <x:c r="D2" s="34"/>
      <x:c r="E2" s="34"/>
      <x:c r="F2" s="34"/>
      <x:c r="G2" s="34"/>
    </x:row>
    <x:row r="3" ht="15" hidden="0" customHeight="1">
      <x:c r="A3" s="34"/>
      <x:c r="B3" s="34"/>
      <x:c r="C3" s="34"/>
      <x:c r="D3" s="34"/>
      <x:c r="E3" s="34"/>
      <x:c r="F3" s="34"/>
      <x:c r="G3" s="34"/>
    </x:row>
    <x:row r="4" ht="15" hidden="0" customHeight="1">
      <x:c r="A4" s="10" t="str">
        <x:v>Бөлім</x:v>
      </x:c>
      <x:c r="B4" s="10" t="str">
        <x:v>Шешім</x:v>
      </x:c>
      <x:c r="C4" s="10" t="str">
        <x:v>Күйі</x:v>
      </x:c>
      <x:c r="D4" s="10" t="str">
        <x:v>Иесі</x:v>
      </x:c>
      <x:c r="E4" s="10" t="str">
        <x:v>Мерзім</x:v>
      </x:c>
      <x:c r="F4" s="10" t="str">
        <x:v>Дәлел/әрекет</x:v>
      </x:c>
      <x:c r="G4" s="10" t="str">
        <x:v>Дереккөз</x:v>
      </x:c>
    </x:row>
    <x:row r="5" ht="15" hidden="0" customHeight="1">
      <x:c r="A5" s="14" t="str">
        <x:v>Дерек санаты</x:v>
      </x:c>
      <x:c r="B5" s="14" t="str">
        <x:v>аты-жөні, телефон, абонемент, бронь/келу, төлем күйі, рөл, audit</x:v>
      </x:c>
      <x:c r="C5" s="14" t="str">
        <x:v>Жоба</x:v>
      </x:c>
      <x:c r="D5" s="14" t="str">
        <x:v>Ануар</x:v>
      </x:c>
      <x:c r="E5" s="14" t="str">
        <x:v>29.10.2026</x:v>
      </x:c>
      <x:c r="F5" s="14" t="str">
        <x:v>data inventory бекіту</x:v>
      </x:c>
      <x:c r="G5" s="14" t="str">
        <x:v>ҚР заңы</x:v>
      </x:c>
    </x:row>
    <x:row r="6" ht="15" hidden="0" customHeight="1">
      <x:c r="A6" s="14" t="str">
        <x:v>Минимизация</x:v>
      </x:c>
      <x:c r="B6" s="14" t="str">
        <x:v>ЖСН, мекенжай, диагноз және карта деректемесі жиналмайды</x:v>
      </x:c>
      <x:c r="C6" s="14" t="str">
        <x:v>Жоба</x:v>
      </x:c>
      <x:c r="D6" s="14" t="str">
        <x:v>Ануар</x:v>
      </x:c>
      <x:c r="E6" s="14" t="str">
        <x:v>29.10.2026</x:v>
      </x:c>
      <x:c r="F6" s="14" t="str">
        <x:v>өріс тізімі</x:v>
      </x:c>
      <x:c r="G6" s="14" t="str">
        <x:v>ҚР заңы</x:v>
      </x:c>
    </x:row>
    <x:row r="7" ht="15" hidden="0" customHeight="1">
      <x:c r="A7" s="14" t="str">
        <x:v>Заңды негіз</x:v>
      </x:c>
      <x:c r="B7" s="14" t="str">
        <x:v>айқын келісім және қызмет шартына қажетті өңдеу; оператор растауы тиіс</x:v>
      </x:c>
      <x:c r="C7" s="14" t="str">
        <x:v>Жоба</x:v>
      </x:c>
      <x:c r="D7" s="14" t="str">
        <x:v>Ануар</x:v>
      </x:c>
      <x:c r="E7" s="14" t="str">
        <x:v>29.10.2026</x:v>
      </x:c>
      <x:c r="F7" s="14" t="str">
        <x:v>consent/contract шешімі</x:v>
      </x:c>
      <x:c r="G7" s="14" t="str">
        <x:v>ҚР заңы</x:v>
      </x:c>
    </x:row>
    <x:row r="8" ht="15" hidden="0" customHeight="1">
      <x:c r="A8" s="14" t="str">
        <x:v>Келісім дәлелі</x:v>
      </x:c>
      <x:c r="B8" s="14" t="str">
        <x:v>мәтін нұсқасы, уақыт, пайдаланушы, қайтарып алу оқиғасы</x:v>
      </x:c>
      <x:c r="C8" s="14" t="str">
        <x:v>Жоба</x:v>
      </x:c>
      <x:c r="D8" s="14" t="str">
        <x:v>Айдос</x:v>
      </x:c>
      <x:c r="E8" s="14" t="str">
        <x:v>05.11.2026</x:v>
      </x:c>
      <x:c r="F8" s="14" t="str">
        <x:v>consent log</x:v>
      </x:c>
      <x:c r="G8" s="14" t="str">
        <x:v>ҚР заңы</x:v>
      </x:c>
    </x:row>
    <x:row r="9" ht="15" hidden="0" customHeight="1">
      <x:c r="A9" s="14" t="str">
        <x:v>Сақтау орны</x:v>
      </x:c>
      <x:c r="B9" s="14" t="str">
        <x:v>хостинг бекітілмеген; ел/провайдер/backup орны пилотқа дейін жазылады</x:v>
      </x:c>
      <x:c r="C9" s="14" t="str">
        <x:v>Тыйым</x:v>
      </x:c>
      <x:c r="D9" s="14" t="str">
        <x:v>Айдос</x:v>
      </x:c>
      <x:c r="E9" s="14" t="str">
        <x:v>29.10.2026</x:v>
      </x:c>
      <x:c r="F9" s="14" t="str">
        <x:v>hosting decision</x:v>
      </x:c>
      <x:c r="G9" s="14" t="str">
        <x:v>Қорғау қағидасы</x:v>
      </x:c>
    </x:row>
    <x:row r="10" ht="15" hidden="0" customHeight="1">
      <x:c r="A10" s="14" t="str">
        <x:v>Тест дерегі</x:v>
      </x:c>
      <x:c r="B10" s="14" t="str">
        <x:v>тек синтетикалық дерек</x:v>
      </x:c>
      <x:c r="C10" s="14" t="str">
        <x:v>Дайын</x:v>
      </x:c>
      <x:c r="D10" s="14" t="str">
        <x:v>Әділбек</x:v>
      </x:c>
      <x:c r="E10" s="14" t="str">
        <x:v>07.10.2026</x:v>
      </x:c>
      <x:c r="F10" s="14" t="str">
        <x:v>test dataset</x:v>
      </x:c>
      <x:c r="G10" s="14" t="str">
        <x:v>Команда шешімі</x:v>
      </x:c>
    </x:row>
    <x:row r="11" ht="15" hidden="0" customHeight="1">
      <x:c r="A11" s="14" t="str">
        <x:v>Қолжетімділік</x:v>
      </x:c>
      <x:c r="B11" s="14" t="str">
        <x:v>admin — операция; manager — агрегат; trainer — өз сабағы; dev — синтетика</x:v>
      </x:c>
      <x:c r="C11" s="14" t="str">
        <x:v>Жоба</x:v>
      </x:c>
      <x:c r="D11" s="14" t="str">
        <x:v>Айдос</x:v>
      </x:c>
      <x:c r="E11" s="14" t="str">
        <x:v>29.10.2026</x:v>
      </x:c>
      <x:c r="F11" s="14" t="str">
        <x:v>access matrix</x:v>
      </x:c>
      <x:c r="G11" s="14" t="str">
        <x:v>Least privilege</x:v>
      </x:c>
    </x:row>
    <x:row r="12" ht="15" hidden="0" customHeight="1">
      <x:c r="A12" s="14" t="str">
        <x:v>Қорғау</x:v>
      </x:c>
      <x:c r="B12" s="14" t="str">
        <x:v>TLS, RBAC, secure session, masking, encrypted backup, audit</x:v>
      </x:c>
      <x:c r="C12" s="14" t="str">
        <x:v>Жоба</x:v>
      </x:c>
      <x:c r="D12" s="14" t="str">
        <x:v>Айдос</x:v>
      </x:c>
      <x:c r="E12" s="14" t="str">
        <x:v>05.11.2026</x:v>
      </x:c>
      <x:c r="F12" s="14" t="str">
        <x:v>security test</x:v>
      </x:c>
      <x:c r="G12" s="14" t="str">
        <x:v>Қорғау қағидасы</x:v>
      </x:c>
    </x:row>
    <x:row r="13" ht="15" hidden="0" customHeight="1">
      <x:c r="A13" s="14" t="str">
        <x:v>Retention</x:v>
      </x:c>
      <x:c r="B13" s="14" t="str">
        <x:v>ұсыныс: абонементтен кейін 12 ай, кейін жою/анонимдеу; растау керек</x:v>
      </x:c>
      <x:c r="C13" s="14" t="str">
        <x:v>Жоба</x:v>
      </x:c>
      <x:c r="D13" s="14" t="str">
        <x:v>Ануар</x:v>
      </x:c>
      <x:c r="E13" s="14" t="str">
        <x:v>29.10.2026</x:v>
      </x:c>
      <x:c r="F13" s="14" t="str">
        <x:v>retention policy</x:v>
      </x:c>
      <x:c r="G13" s="14" t="str">
        <x:v>ҚР заңы</x:v>
      </x:c>
    </x:row>
    <x:row r="14" ht="15" hidden="0" customHeight="1">
      <x:c r="A14" s="14" t="str">
        <x:v>Субъект сұрауы</x:v>
      </x:c>
      <x:c r="B14" s="14" t="str">
        <x:v>қолжеткізу, түзету, қайтару, жою рәсімі</x:v>
      </x:c>
      <x:c r="C14" s="14" t="str">
        <x:v>Жоба</x:v>
      </x:c>
      <x:c r="D14" s="14" t="str">
        <x:v>Ануар</x:v>
      </x:c>
      <x:c r="E14" s="14" t="str">
        <x:v>05.11.2026</x:v>
      </x:c>
      <x:c r="F14" s="14" t="str">
        <x:v>request procedure</x:v>
      </x:c>
      <x:c r="G14" s="14" t="str">
        <x:v>ҚР заңы</x:v>
      </x:c>
    </x:row>
    <x:row r="15" ht="15" hidden="0" customHeight="1">
      <x:c r="A15" s="14" t="str">
        <x:v>Инцидент</x:v>
      </x:c>
      <x:c r="B15" s="14" t="str">
        <x:v>қолды тоқтату, логты сақтау, ауқымды анықтау, хабарлау</x:v>
      </x:c>
      <x:c r="C15" s="14" t="str">
        <x:v>Жоба</x:v>
      </x:c>
      <x:c r="D15" s="14" t="str">
        <x:v>Әділбек</x:v>
      </x:c>
      <x:c r="E15" s="14" t="str">
        <x:v>05.11.2026</x:v>
      </x:c>
      <x:c r="F15" s="14" t="str">
        <x:v>incident playbook</x:v>
      </x:c>
      <x:c r="G15" s="14" t="str">
        <x:v>Қорғау қағидасы</x:v>
      </x:c>
    </x:row>
    <x:row r="16" ht="15" hidden="0" customHeight="1">
      <x:c r="A16" s="14" t="str">
        <x:v>AI</x:v>
      </x:c>
      <x:c r="B16" s="14" t="str">
        <x:v>MVP-де AI компоненті жоқ; кейін қосылса қайта бағаланады</x:v>
      </x:c>
      <x:c r="C16" s="14" t="str">
        <x:v>Қолданылмайды</x:v>
      </x:c>
      <x:c r="D16" s="14" t="str">
        <x:v>Ануар</x:v>
      </x:c>
      <x:c r="E16" s="14" t="str">
        <x:v>07.10.2026</x:v>
      </x:c>
      <x:c r="F16" s="14" t="str">
        <x:v>AI change gate</x:v>
      </x:c>
      <x:c r="G16" s="14" t="str">
        <x:v>Команда шешімі</x:v>
      </x:c>
    </x:row>
    <x:row r="17" ht="15" hidden="0" customHeight="1">
      <x:c r="A17" s="34"/>
      <x:c r="B17" s="34"/>
      <x:c r="C17" s="34"/>
      <x:c r="D17" s="34"/>
      <x:c r="E17" s="34"/>
      <x:c r="F17" s="34"/>
      <x:c r="G17" s="34"/>
    </x:row>
    <x:row r="18" ht="15" hidden="0" customHeight="1">
      <x:c r="A18" s="33" t="str">
        <x:v>Ресми сілтемелер: https://adilet.zan.kz/rus/docs/Z1300000094 және https://adilet.zan.kz/rus/docs/V2300032810 (қаралған күні 07.10.2026).</x:v>
      </x:c>
      <x:c r="B18" s="34"/>
      <x:c r="C18" s="34"/>
      <x:c r="D18" s="34"/>
      <x:c r="E18" s="34"/>
      <x:c r="F18" s="34"/>
      <x:c r="G18" s="34"/>
    </x:row>
  </x:sheetData>
  <x:mergeCells>
    <x:mergeCell ref="A1:G1"/>
    <x:mergeCell ref="A2:G2"/>
    <x:mergeCell ref="A18:G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14" hidden="0" customWidth="1"/>
    <x:col min="5" max="5" width="14" hidden="0" customWidth="1"/>
    <x:col min="6" max="6" width="62" hidden="0" customWidth="1"/>
    <x:col min="7" max="7" width="14" hidden="0" customWidth="1"/>
  </x:cols>
  <x:sheetData>
    <x:row r="1" ht="24" hidden="0" customHeight="1">
      <x:c r="A1" s="3" t="str">
        <x:v>Тәуекелдерді азайту backlog-ы</x:v>
      </x:c>
      <x:c r="B1" s="34"/>
      <x:c r="C1" s="34"/>
      <x:c r="D1" s="34"/>
      <x:c r="E1" s="34"/>
      <x:c r="F1" s="34"/>
      <x:c r="G1" s="34"/>
    </x:row>
    <x:row r="2" ht="15" hidden="0" customHeight="1">
      <x:c r="A2" s="5" t="str">
        <x:v>Кемінде 3 нақты жұмыс: иесі, мерзімі және тексерілетін қабылдау критерийі бар</x:v>
      </x:c>
      <x:c r="B2" s="34"/>
      <x:c r="C2" s="34"/>
      <x:c r="D2" s="34"/>
      <x:c r="E2" s="34"/>
      <x:c r="F2" s="34"/>
      <x:c r="G2" s="34"/>
    </x:row>
    <x:row r="3" ht="15" hidden="0" customHeight="1">
      <x:c r="A3" s="34"/>
      <x:c r="B3" s="34"/>
      <x:c r="C3" s="34"/>
      <x:c r="D3" s="34"/>
      <x:c r="E3" s="34"/>
      <x:c r="F3" s="34"/>
      <x:c r="G3" s="34"/>
    </x:row>
    <x:row r="4" ht="15" hidden="0" customHeight="1">
      <x:c r="A4" s="10" t="str">
        <x:v>ID</x:v>
      </x:c>
      <x:c r="B4" s="10" t="str">
        <x:v>Тапсырма</x:v>
      </x:c>
      <x:c r="C4" s="10" t="str">
        <x:v>Тәуекелдер</x:v>
      </x:c>
      <x:c r="D4" s="10" t="str">
        <x:v>Иесі</x:v>
      </x:c>
      <x:c r="E4" s="10" t="str">
        <x:v>Мерзім</x:v>
      </x:c>
      <x:c r="F4" s="10" t="str">
        <x:v>Қабылдау критерийі</x:v>
      </x:c>
      <x:c r="G4" s="10" t="str">
        <x:v>Күйі</x:v>
      </x:c>
    </x:row>
    <x:row r="5" ht="15" hidden="0" customHeight="1">
      <x:c r="A5" s="14" t="str">
        <x:v>SEC-01</x:v>
      </x:c>
      <x:c r="B5" s="14" t="str">
        <x:v>Аутентификация және RBAC-ты күшейту</x:v>
      </x:c>
      <x:c r="C5" s="14" t="str">
        <x:v>R01, R10, R12</x:v>
      </x:c>
      <x:c r="D5" s="14" t="str">
        <x:v>Айдос</x:v>
      </x:c>
      <x:c r="E5" s="26" t="str">
        <x:v>22.10.2026</x:v>
      </x:c>
      <x:c r="F5" s="14" t="str">
        <x:v>құқық матрицасы; теріс API тесті; 5 сәтсіз кіруден кейін rate-limit; session expiry/revoke</x:v>
      </x:c>
      <x:c r="G5" s="14" t="str">
        <x:v>To do</x:v>
      </x:c>
    </x:row>
    <x:row r="6" ht="21.600000381469727" hidden="0" customHeight="1">
      <x:c r="A6" s="14" t="str">
        <x:v>SEC-02</x:v>
      </x:c>
      <x:c r="B6" s="14" t="str">
        <x:v>Жеке деректер картасын және retention шешімін бекіту</x:v>
      </x:c>
      <x:c r="C6" s="14" t="str">
        <x:v>R02, R13, R17</x:v>
      </x:c>
      <x:c r="D6" s="14" t="str">
        <x:v>Ануар</x:v>
      </x:c>
      <x:c r="E6" s="26" t="str">
        <x:v>29.10.2026</x:v>
      </x:c>
      <x:c r="F6" s="14" t="str">
        <x:v>санат, негіз, storage, access, retention және consent нақты оператор/оқытушымен бекітілген</x:v>
      </x:c>
      <x:c r="G6" s="14" t="str">
        <x:v>To do</x:v>
      </x:c>
    </x:row>
    <x:row r="7" ht="15" hidden="0" customHeight="1">
      <x:c r="A7" s="14" t="str">
        <x:v>SEC-03</x:v>
      </x:c>
      <x:c r="B7" s="14" t="str">
        <x:v>Security және recovery gate құру</x:v>
      </x:c>
      <x:c r="C7" s="14" t="str">
        <x:v>R03, R08, R09, R18, R23</x:v>
      </x:c>
      <x:c r="D7" s="14" t="str">
        <x:v>Әділбек</x:v>
      </x:c>
      <x:c r="E7" s="26" t="str">
        <x:v>05.11.2026</x:v>
      </x:c>
      <x:c r="F7" s="14" t="str">
        <x:v>Gitleaks/Trivy; бөлек backup; restore-тест RPO 24 сағ/RTO 4 сағ; evidence</x:v>
      </x:c>
      <x:c r="G7" s="14" t="str">
        <x:v>To do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34" hidden="0" customWidth="1"/>
    <x:col min="4" max="4" width="44" hidden="0" customWidth="1"/>
    <x:col min="5" max="5" width="20" hidden="0" customWidth="1"/>
    <x:col min="6" max="6" width="55" hidden="0" customWidth="1"/>
  </x:cols>
  <x:sheetData>
    <x:row r="1" ht="24" hidden="0" customHeight="1">
      <x:c r="A1" s="3" t="str">
        <x:v>Қауіпсіздік скандары</x:v>
      </x:c>
      <x:c r="B1" s="34"/>
      <x:c r="C1" s="34"/>
      <x:c r="D1" s="34"/>
      <x:c r="E1" s="34"/>
      <x:c r="F1" s="34"/>
    </x:row>
    <x:row r="2" ht="15" hidden="0" customHeight="1">
      <x:c r="A2" s="5" t="str">
        <x:v>Нақты орындалған тексерулер; нөлдік finding — болашақ код қауіпсіз деген кепілдік емес</x:v>
      </x:c>
      <x:c r="B2" s="34"/>
      <x:c r="C2" s="34"/>
      <x:c r="D2" s="34"/>
      <x:c r="E2" s="34"/>
      <x:c r="F2" s="34"/>
    </x:row>
    <x:row r="3" ht="15" hidden="0" customHeight="1">
      <x:c r="A3" s="34"/>
      <x:c r="B3" s="34"/>
      <x:c r="C3" s="34"/>
      <x:c r="D3" s="34"/>
      <x:c r="E3" s="34"/>
      <x:c r="F3" s="34"/>
    </x:row>
    <x:row r="4" ht="15" hidden="0" customHeight="1">
      <x:c r="A4" s="10" t="str">
        <x:v>Құрал</x:v>
      </x:c>
      <x:c r="B4" s="10" t="str">
        <x:v>Нұсқа</x:v>
      </x:c>
      <x:c r="C4" s="10" t="str">
        <x:v>Қамту</x:v>
      </x:c>
      <x:c r="D4" s="10" t="str">
        <x:v>Commit</x:v>
      </x:c>
      <x:c r="E4" s="10" t="str">
        <x:v>Нәтиже</x:v>
      </x:c>
      <x:c r="F4" s="10" t="str">
        <x:v>Шектеу</x:v>
      </x:c>
    </x:row>
    <x:row r="5" ht="15" hidden="0" customHeight="1">
      <x:c r="A5" s="14" t="str">
        <x:v>Gitleaks</x:v>
      </x:c>
      <x:c r="B5" s="14" t="str">
        <x:v>8.30.1</x:v>
      </x:c>
      <x:c r="C5" s="14" t="str">
        <x:v>Git тарихы: 1 commit, 334.52 KB</x:v>
      </x:c>
      <x:c r="D5" s="14" t="str">
        <x:v>27ea53fc22549cb5c7dba69f32a80b1c15b4d7ab</x:v>
      </x:c>
      <x:c r="E5" s="14" t="str">
        <x:v>0 secret finding</x:v>
      </x:c>
      <x:c r="F5" s="14" t="str">
        <x:v>код пен болашақ commit сайын қайталау керек</x:v>
      </x:c>
    </x:row>
    <x:row r="6" ht="15" hidden="0" customHeight="1">
      <x:c r="A6" s="14" t="str">
        <x:v>Trivy</x:v>
      </x:c>
      <x:c r="B6" s="14" t="str">
        <x:v>0.75.0</x:v>
      </x:c>
      <x:c r="C6" s="14" t="str">
        <x:v>filesystem: secret, misconfig</x:v>
      </x:c>
      <x:c r="D6" s="14" t="str">
        <x:v>27ea53fc22549cb5c7dba69f32a80b1c15b4d7ab</x:v>
      </x:c>
      <x:c r="E6" s="14" t="str">
        <x:v>0 finding</x:v>
      </x:c>
      <x:c r="F6" s="14" t="str">
        <x:v>lock-файл/өндірістік config жоқ; vulnerability scan шектеулі</x:v>
      </x:c>
    </x:row>
    <x:row r="7" ht="15" hidden="0" customHeight="1">
      <x:c r="A7" s="34"/>
      <x:c r="B7" s="34"/>
      <x:c r="C7" s="34"/>
      <x:c r="D7" s="34"/>
      <x:c r="E7" s="34"/>
      <x:c r="F7" s="34"/>
    </x:row>
    <x:row r="8" ht="15" hidden="0" customHeight="1">
      <x:c r="A8" s="25" t="str">
        <x:v>Шешім: SEC-03 жұмысы сканды CI/релиз қақпасына айналдырады және код/конфигурация қосылғанда қайта іске қосады.</x:v>
      </x:c>
      <x:c r="B8" s="34"/>
      <x:c r="C8" s="34"/>
      <x:c r="D8" s="34"/>
      <x:c r="E8" s="34"/>
      <x:c r="F8" s="34"/>
    </x:row>
  </x:sheetData>
  <x:mergeCells>
    <x:mergeCell ref="A1:F1"/>
    <x:mergeCell ref="A2:F2"/>
    <x:mergeCell ref="A8:F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58" hidden="0" customWidth="1"/>
    <x:col min="4" max="4" width="14" hidden="0" customWidth="1"/>
    <x:col min="5" max="5" width="16" hidden="0" customWidth="1"/>
    <x:col min="6" max="6" width="36" hidden="0" customWidth="1"/>
  </x:cols>
  <x:sheetData>
    <x:row r="1" ht="24" hidden="0" customHeight="1">
      <x:c r="A1" s="3" t="str">
        <x:v>RAID контексті</x:v>
      </x:c>
      <x:c r="B1" s="34"/>
      <x:c r="C1" s="34"/>
      <x:c r="D1" s="34"/>
      <x:c r="E1" s="34"/>
      <x:c r="F1" s="34"/>
    </x:row>
    <x:row r="2" ht="15" hidden="0" customHeight="1">
      <x:c r="A2" s="5" t="str">
        <x:v>Risk бөлек тізілімде; мұнда Assumption, Issue және Dependency көрсетілді</x:v>
      </x:c>
      <x:c r="B2" s="34"/>
      <x:c r="C2" s="34"/>
      <x:c r="D2" s="34"/>
      <x:c r="E2" s="34"/>
      <x:c r="F2" s="34"/>
    </x:row>
    <x:row r="3" ht="15" hidden="0" customHeight="1">
      <x:c r="A3" s="34"/>
      <x:c r="B3" s="34"/>
      <x:c r="C3" s="34"/>
      <x:c r="D3" s="34"/>
      <x:c r="E3" s="34"/>
      <x:c r="F3" s="34"/>
    </x:row>
    <x:row r="4" ht="15" hidden="0" customHeight="1">
      <x:c r="A4" s="10" t="str">
        <x:v>Түрі</x:v>
      </x:c>
      <x:c r="B4" s="10" t="str">
        <x:v>ID</x:v>
      </x:c>
      <x:c r="C4" s="10" t="str">
        <x:v>Жазба</x:v>
      </x:c>
      <x:c r="D4" s="10" t="str">
        <x:v>Иесі</x:v>
      </x:c>
      <x:c r="E4" s="10" t="str">
        <x:v>Бақылау күні</x:v>
      </x:c>
      <x:c r="F4" s="10" t="str">
        <x:v>Әрекет</x:v>
      </x:c>
    </x:row>
    <x:row r="5" ht="15" hidden="0" customHeight="1">
      <x:c r="A5" s="14" t="str">
        <x:v>Assumption</x:v>
      </x:c>
      <x:c r="B5" s="14" t="str">
        <x:v>A01</x:v>
      </x:c>
      <x:c r="C5" s="14" t="str">
        <x:v>Пилотқа дейін тек синтетикалық дерек қолданылады</x:v>
      </x:c>
      <x:c r="D5" s="14" t="str">
        <x:v>Айдос</x:v>
      </x:c>
      <x:c r="E5" s="14" t="str">
        <x:v>21.10.2026</x:v>
      </x:c>
      <x:c r="F5" s="14" t="str">
        <x:v>әр demo алдында тексеру</x:v>
      </x:c>
    </x:row>
    <x:row r="6" ht="15" hidden="0" customHeight="1">
      <x:c r="A6" s="14" t="str">
        <x:v>Assumption</x:v>
      </x:c>
      <x:c r="B6" s="14" t="str">
        <x:v>A02</x:v>
      </x:c>
      <x:c r="C6" s="14" t="str">
        <x:v>Қазіргі MVP-де AI компоненті жоқ</x:v>
      </x:c>
      <x:c r="D6" s="14" t="str">
        <x:v>Ануар</x:v>
      </x:c>
      <x:c r="E6" s="14" t="str">
        <x:v>04.11.2026</x:v>
      </x:c>
      <x:c r="F6" s="14" t="str">
        <x:v>AI story ашылса қайта бағалау</x:v>
      </x:c>
    </x:row>
    <x:row r="7" ht="15" hidden="0" customHeight="1">
      <x:c r="A7" s="14" t="str">
        <x:v>Issue</x:v>
      </x:c>
      <x:c r="B7" s="14" t="str">
        <x:v>I01</x:v>
      </x:c>
      <x:c r="C7" s="14" t="str">
        <x:v>Нақты клуб статистикасы әлі алынбаған</x:v>
      </x:c>
      <x:c r="D7" s="14" t="str">
        <x:v>Ануар</x:v>
      </x:c>
      <x:c r="E7" s="14" t="str">
        <x:v>21.10.2026</x:v>
      </x:c>
      <x:c r="F7" s="14" t="str">
        <x:v>болжам ретінде белгілеу</x:v>
      </x:c>
    </x:row>
    <x:row r="8" ht="15" hidden="0" customHeight="1">
      <x:c r="A8" s="14" t="str">
        <x:v>Issue</x:v>
      </x:c>
      <x:c r="B8" s="14" t="str">
        <x:v>I02</x:v>
      </x:c>
      <x:c r="C8" s="14" t="str">
        <x:v>Тәуекел бағалары командалық сессияда әлі расталмаған</x:v>
      </x:c>
      <x:c r="D8" s="14" t="str">
        <x:v>Ануар</x:v>
      </x:c>
      <x:c r="E8" s="14" t="str">
        <x:v>14.10.2026</x:v>
      </x:c>
      <x:c r="F8" s="14" t="str">
        <x:v>20 минуттық pre-mortem өткізу</x:v>
      </x:c>
    </x:row>
    <x:row r="9" ht="15" hidden="0" customHeight="1">
      <x:c r="A9" s="14" t="str">
        <x:v>Dependency</x:v>
      </x:c>
      <x:c r="B9" s="14" t="str">
        <x:v>D01</x:v>
      </x:c>
      <x:c r="C9" s="14" t="str">
        <x:v>Қабылдау критерийі оқытушының растауына тәуелді</x:v>
      </x:c>
      <x:c r="D9" s="14" t="str">
        <x:v>Ануар</x:v>
      </x:c>
      <x:c r="E9" s="14" t="str">
        <x:v>14.10.2026</x:v>
      </x:c>
      <x:c r="F9" s="14" t="str">
        <x:v>decision log</x:v>
      </x:c>
    </x:row>
    <x:row r="10" ht="15" hidden="0" customHeight="1">
      <x:c r="A10" s="14" t="str">
        <x:v>Dependency</x:v>
      </x:c>
      <x:c r="B10" s="14" t="str">
        <x:v>D02</x:v>
      </x:c>
      <x:c r="C10" s="14" t="str">
        <x:v>Дерек сақтау орны хостинг шешіміне тәуелді</x:v>
      </x:c>
      <x:c r="D10" s="14" t="str">
        <x:v>Айдос</x:v>
      </x:c>
      <x:c r="E10" s="14" t="str">
        <x:v>21.10.2026</x:v>
      </x:c>
      <x:c r="F10" s="14" t="str">
        <x:v>hosting comparison</x:v>
      </x:c>
    </x:row>
    <x:row r="11" ht="15" hidden="0" customHeight="1">
      <x:c r="A11" s="14" t="str">
        <x:v>Dependency</x:v>
      </x:c>
      <x:c r="B11" s="14" t="str">
        <x:v>D03</x:v>
      </x:c>
      <x:c r="C11" s="14" t="str">
        <x:v>Бронь/қатысу ережесі клуб регламентіне тәуелді</x:v>
      </x:c>
      <x:c r="D11" s="14" t="str">
        <x:v>Әділбек</x:v>
      </x:c>
      <x:c r="E11" s="14" t="str">
        <x:v>28.10.2026</x:v>
      </x:c>
      <x:c r="F11" s="14" t="str">
        <x:v>UAT сұрағы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70" hidden="0" customWidth="1"/>
    <x:col min="3" max="3" width="8" hidden="0" customWidth="1"/>
    <x:col min="4" max="4" width="8" hidden="0" customWidth="1"/>
    <x:col min="5" max="5" width="8" hidden="0" customWidth="1"/>
    <x:col min="6" max="6" width="18" hidden="0" customWidth="1"/>
    <x:col min="7" max="7" width="58" hidden="0" customWidth="1"/>
  </x:cols>
  <x:sheetData>
    <x:row r="1" ht="24" hidden="0" customHeight="1">
      <x:c r="A1" s="3" t="str">
        <x:v>Бағалау шкалалары және дереккөздер</x:v>
      </x:c>
      <x:c r="B1" s="34"/>
      <x:c r="C1" s="34"/>
      <x:c r="D1" s="34"/>
      <x:c r="E1" s="34"/>
      <x:c r="F1" s="34"/>
      <x:c r="G1" s="34"/>
    </x:row>
    <x:row r="2" ht="15" hidden="0" customHeight="1">
      <x:c r="A2" s="5" t="str">
        <x:v>Тәуекел бағасын бірдей түсіндіру үшін</x:v>
      </x:c>
      <x:c r="B2" s="34"/>
      <x:c r="C2" s="34"/>
      <x:c r="D2" s="34"/>
      <x:c r="E2" s="34"/>
      <x:c r="F2" s="34"/>
      <x:c r="G2" s="34"/>
    </x:row>
    <x:row r="3" ht="15" hidden="0" customHeight="1">
      <x:c r="A3" s="34"/>
      <x:c r="B3" s="34"/>
      <x:c r="C3" s="34"/>
      <x:c r="D3" s="34"/>
      <x:c r="E3" s="34"/>
      <x:c r="F3" s="34"/>
      <x:c r="G3" s="34"/>
    </x:row>
    <x:row r="4" ht="24" hidden="0" customHeight="1">
      <x:c r="A4" s="10" t="str">
        <x:v>P</x:v>
      </x:c>
      <x:c r="B4" s="10" t="str">
        <x:v>Ықтималдық</x:v>
      </x:c>
      <x:c r="C4" s="10" t="str">
        <x:v>Түсіндірме</x:v>
      </x:c>
      <x:c r="D4" s="34"/>
      <x:c r="E4" s="10" t="str">
        <x:v>I</x:v>
      </x:c>
      <x:c r="F4" s="10" t="str">
        <x:v>Әсер</x:v>
      </x:c>
      <x:c r="G4" s="10" t="str">
        <x:v>Түсіндірме</x:v>
      </x:c>
    </x:row>
    <x:row r="5" ht="43.20000076293945" hidden="0" customHeight="1">
      <x:c r="A5" s="14" t="n">
        <x:v>1</x:v>
      </x:c>
      <x:c r="B5" s="14" t="str">
        <x:v>Өте сирек</x:v>
      </x:c>
      <x:c r="C5" s="14" t="str">
        <x:v>жоба ішінде болуы екіталай</x:v>
      </x:c>
      <x:c r="D5" s="34"/>
      <x:c r="E5" s="14" t="n">
        <x:v>1</x:v>
      </x:c>
      <x:c r="F5" s="14" t="str">
        <x:v>Елеусіз</x:v>
      </x:c>
      <x:c r="G5" s="14" t="str">
        <x:v>шағын қайта жұмыс</x:v>
      </x:c>
    </x:row>
    <x:row r="6" ht="43.20000076293945" hidden="0" customHeight="1">
      <x:c r="A6" s="14" t="n">
        <x:v>2</x:v>
      </x:c>
      <x:c r="B6" s="14" t="str">
        <x:v>Сирек</x:v>
      </x:c>
      <x:c r="C6" s="14" t="str">
        <x:v>болуы мүмкін, бірақ белгісі жоқ</x:v>
      </x:c>
      <x:c r="D6" s="34"/>
      <x:c r="E6" s="14" t="n">
        <x:v>2</x:v>
      </x:c>
      <x:c r="F6" s="14" t="str">
        <x:v>Төмен</x:v>
      </x:c>
      <x:c r="G6" s="14" t="str">
        <x:v>бір story кешігуі</x:v>
      </x:c>
    </x:row>
    <x:row r="7" ht="43.20000076293945" hidden="0" customHeight="1">
      <x:c r="A7" s="14" t="n">
        <x:v>3</x:v>
      </x:c>
      <x:c r="B7" s="14" t="str">
        <x:v>Мүмкін</x:v>
      </x:c>
      <x:c r="C7" s="14" t="str">
        <x:v>осындай жағдай кездесуі ықтимал</x:v>
      </x:c>
      <x:c r="D7" s="34"/>
      <x:c r="E7" s="14" t="n">
        <x:v>3</x:v>
      </x:c>
      <x:c r="F7" s="14" t="str">
        <x:v>Орта</x:v>
      </x:c>
      <x:c r="G7" s="14" t="str">
        <x:v>sprint/қорғауға әсер</x:v>
      </x:c>
    </x:row>
    <x:row r="8" ht="32.400001525878906" hidden="0" customHeight="1">
      <x:c r="A8" s="14" t="n">
        <x:v>4</x:v>
      </x:c>
      <x:c r="B8" s="14" t="str">
        <x:v>Жиі</x:v>
      </x:c>
      <x:c r="C8" s="14" t="str">
        <x:v>нақты алғышарт бар</x:v>
      </x:c>
      <x:c r="D8" s="34"/>
      <x:c r="E8" s="14" t="n">
        <x:v>4</x:v>
      </x:c>
      <x:c r="F8" s="14" t="str">
        <x:v>Жоғары</x:v>
      </x:c>
      <x:c r="G8" s="14" t="str">
        <x:v>негізгі функция/мерзім бұзылады</x:v>
      </x:c>
    </x:row>
    <x:row r="9" ht="43.20000076293945" hidden="0" customHeight="1">
      <x:c r="A9" s="14" t="n">
        <x:v>5</x:v>
      </x:c>
      <x:c r="B9" s="14" t="str">
        <x:v>Өте жиі</x:v>
      </x:c>
      <x:c r="C9" s="14" t="str">
        <x:v>қазір орын алуда не қайталанады</x:v>
      </x:c>
      <x:c r="D9" s="34"/>
      <x:c r="E9" s="14" t="n">
        <x:v>5</x:v>
      </x:c>
      <x:c r="F9" s="14" t="str">
        <x:v>Критикалық</x:v>
      </x:c>
      <x:c r="G9" s="14" t="str">
        <x:v>жеке дерек, толық жоғалту не жобаны тоқтату</x:v>
      </x:c>
    </x:row>
    <x:row r="10" ht="15" hidden="0" customHeight="1">
      <x:c r="A10" s="34"/>
      <x:c r="B10" s="34"/>
      <x:c r="C10" s="34"/>
      <x:c r="D10" s="34"/>
      <x:c r="E10" s="34"/>
      <x:c r="F10" s="34"/>
      <x:c r="G10" s="34"/>
    </x:row>
    <x:row r="11" ht="15" hidden="0" customHeight="1">
      <x:c r="A11" s="18" t="str">
        <x:v>Ұпай деңгейі: 1–4 төмен; 5–9 орта; 10–14 жоғары; 15–25 критикалық.</x:v>
      </x:c>
      <x:c r="B11" s="18"/>
      <x:c r="C11" s="18"/>
      <x:c r="D11" s="18"/>
      <x:c r="E11" s="18"/>
      <x:c r="F11" s="18"/>
      <x:c r="G11" s="34"/>
    </x:row>
    <x:row r="12" ht="15" hidden="0" customHeight="1">
      <x:c r="A12" s="34"/>
      <x:c r="B12" s="34"/>
      <x:c r="C12" s="34"/>
      <x:c r="D12" s="34"/>
      <x:c r="E12" s="34"/>
      <x:c r="F12" s="34"/>
      <x:c r="G12" s="34"/>
    </x:row>
    <x:row r="13" ht="15" hidden="0" customHeight="1">
      <x:c r="A13" s="10" t="str">
        <x:v>Дереккөз</x:v>
      </x:c>
      <x:c r="B13" s="10" t="str">
        <x:v>URL</x:v>
      </x:c>
      <x:c r="C13" s="10" t="str"/>
      <x:c r="D13" s="10" t="str"/>
      <x:c r="E13" s="10" t="str"/>
      <x:c r="F13" s="10" t="str">
        <x:v>Қаралған күн</x:v>
      </x:c>
      <x:c r="G13" s="34"/>
    </x:row>
    <x:row r="14" ht="15" hidden="0" customHeight="1">
      <x:c r="A14" s="14" t="str">
        <x:v>ҚР «Дербес деректер…» заңы</x:v>
      </x:c>
      <x:c r="B14" s="14" t="str">
        <x:v>https://adilet.zan.kz/rus/docs/Z1300000094</x:v>
      </x:c>
      <x:c r="C14" s="14" t="str"/>
      <x:c r="D14" s="14" t="str"/>
      <x:c r="E14" s="14" t="str"/>
      <x:c r="F14" s="14" t="str">
        <x:v>07.10.2026</x:v>
      </x:c>
      <x:c r="G14" s="34"/>
    </x:row>
    <x:row r="15" ht="15" hidden="0" customHeight="1">
      <x:c r="A15" s="14" t="str">
        <x:v>Дербес деректерді қорғау қағидалары</x:v>
      </x:c>
      <x:c r="B15" s="14" t="str">
        <x:v>https://adilet.zan.kz/rus/docs/V2300032810</x:v>
      </x:c>
      <x:c r="C15" s="14" t="str"/>
      <x:c r="D15" s="14" t="str"/>
      <x:c r="E15" s="14" t="str"/>
      <x:c r="F15" s="14" t="str">
        <x:v>07.10.2026</x:v>
      </x:c>
      <x:c r="G15" s="34"/>
    </x:row>
    <x:row r="16" ht="15" hidden="0" customHeight="1">
      <x:c r="A16" s="14" t="str">
        <x:v>OWASP Threat Dragon</x:v>
      </x:c>
      <x:c r="B16" s="14" t="str">
        <x:v>https://www.threatdragon.com/docs/usage/getting-started.html</x:v>
      </x:c>
      <x:c r="C16" s="14" t="str"/>
      <x:c r="D16" s="14" t="str"/>
      <x:c r="E16" s="14" t="str"/>
      <x:c r="F16" s="14" t="str">
        <x:v>07.10.2026</x:v>
      </x:c>
      <x:c r="G16" s="34"/>
    </x:row>
    <x:row r="17" ht="15" hidden="0" customHeight="1">
      <x:c r="A17" s="14" t="str">
        <x:v>Trivy filesystem</x:v>
      </x:c>
      <x:c r="B17" s="14" t="str">
        <x:v>https://trivy.dev/docs/latest/target/filesystem/</x:v>
      </x:c>
      <x:c r="C17" s="14" t="str"/>
      <x:c r="D17" s="14" t="str"/>
      <x:c r="E17" s="14" t="str"/>
      <x:c r="F17" s="14" t="str">
        <x:v>07.10.2026</x:v>
      </x:c>
      <x:c r="G17" s="34"/>
    </x:row>
    <x:row r="18" ht="15" hidden="0" customHeight="1">
      <x:c r="A18" s="14" t="str">
        <x:v>Gitleaks</x:v>
      </x:c>
      <x:c r="B18" s="14" t="str">
        <x:v>https://github.com/gitleaks/gitleaks</x:v>
      </x:c>
      <x:c r="C18" s="14" t="str"/>
      <x:c r="D18" s="14" t="str"/>
      <x:c r="E18" s="14" t="str"/>
      <x:c r="F18" s="14" t="str">
        <x:v>07.10.2026</x:v>
      </x:c>
      <x:c r="G18" s="34"/>
    </x:row>
  </x:sheetData>
  <x:mergeCells>
    <x:mergeCell ref="A1:F1"/>
    <x:mergeCell ref="A2:F2"/>
    <x:mergeCell ref="A11:F11"/>
  </x:mergeCells>
  <x:pageMargins left="0.7" right="0.7" top="0.75" bottom="0.75" header="0.3" footer="0.3"/>
</x:worksheet>
</file>