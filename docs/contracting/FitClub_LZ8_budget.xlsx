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8671bd6dd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Қорытынды" sheetId="1" r:id="R1cf5d8399e024db3"/>
    <x:sheet xmlns:r="http://schemas.openxmlformats.org/officeDocument/2006/relationships" name="Бастапқы дерек" sheetId="2" r:id="R58db29a08da743ef"/>
    <x:sheet xmlns:r="http://schemas.openxmlformats.org/officeDocument/2006/relationships" name="12 ай бюджет" sheetId="3" r:id="R44b446a20f8948fb"/>
    <x:sheet xmlns:r="http://schemas.openxmlformats.org/officeDocument/2006/relationships" name="Unit экономика" sheetId="4" r:id="R6f6d9293f63c4b4e"/>
    <x:sheet xmlns:r="http://schemas.openxmlformats.org/officeDocument/2006/relationships" name="Хостинг 3 жыл" sheetId="5" r:id="R847980530bd24bac"/>
    <x:sheet xmlns:r="http://schemas.openxmlformats.org/officeDocument/2006/relationships" name="SLO SLA" sheetId="6" r:id="R18e2b36d9c2449af"/>
    <x:sheet xmlns:r="http://schemas.openxmlformats.org/officeDocument/2006/relationships" name="SoW қабылдау" sheetId="7" r:id="R16cead56871e4228"/>
    <x:sheet xmlns:r="http://schemas.openxmlformats.org/officeDocument/2006/relationships" name="Дереккөздер" sheetId="8" r:id="R529a5cab1eaa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;[Red](#,##0);-"/>
    <x:numFmt numFmtId="202" formatCode="#,##0.00;[Red](#,##0.00);-"/>
    <x:numFmt numFmtId="203" formatCode="0"/>
    <x:numFmt numFmtId="204" formatCode="0.00"/>
  </x:numFmts>
  <x:fonts count="8">
    <x:font>
      <x:sz val="11"/>
      <x:name val="Carlito"/>
    </x:font>
    <x:font>
      <x:b/>
      <x:sz val="16"/>
      <x:color rgb="FF111111"/>
      <x:name val="Arial"/>
    </x:font>
    <x:font>
      <x:i/>
      <x:sz val="10"/>
      <x:color rgb="FF5A6B78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  <x:font>
      <x:i/>
      <x:sz val="10"/>
      <x:color rgb="FF111111"/>
      <x:name val="Arial"/>
    </x:font>
    <x:font>
      <x:b/>
      <x:sz val="10"/>
      <x:color rgb="FFFFFFFF"/>
      <x:name val="Arial"/>
    </x:font>
    <x:font>
      <x:u val="single"/>
      <x:sz val="9"/>
      <x:color rgb="FF0563C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77A"/>
      </x:patternFill>
    </x:fill>
    <x:fill>
      <x:patternFill patternType="solid">
        <x:fgColor rgb="FFE7F4EA"/>
      </x:patternFill>
    </x:fill>
    <x:fill>
      <x:patternFill patternType="solid">
        <x:fgColor rgb="FFFFF4D6"/>
      </x:patternFill>
    </x:fill>
    <x:fill>
      <x:patternFill patternType="solid">
        <x:fgColor rgb="FFEAF3F7"/>
      </x:patternFill>
    </x:fill>
    <x:fill>
      <x:patternFill patternType="solid">
        <x:fgColor rgb="FFF4F6F8"/>
      </x:patternFill>
    </x:fill>
    <x:fill>
      <x:patternFill patternType="solid">
        <x:fgColor rgb="FFFDECEC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  <x:diagonal/>
    </x:border>
    <x:border>
      <x:left style="thin">
        <x:color rgb="FF17324D"/>
      </x:left>
      <x:right/>
      <x:top style="thin">
        <x:color rgb="FF17324D"/>
      </x:top>
      <x:bottom style="thin">
        <x:color rgb="FF17324D"/>
      </x:bottom>
      <x:diagonal/>
    </x:border>
    <x:border>
      <x:left/>
      <x:right/>
      <x:top style="thin">
        <x:color rgb="FF17324D"/>
      </x:top>
      <x:bottom style="thin">
        <x:color rgb="FF17324D"/>
      </x:bottom>
      <x:diagonal/>
    </x:border>
    <x:border>
      <x:left/>
      <x:right style="thin">
        <x:color rgb="FF17324D"/>
      </x:right>
      <x:top style="thin">
        <x:color rgb="FF17324D"/>
      </x:top>
      <x:bottom style="thin">
        <x:color rgb="FF17324D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3" fillId="4" borderId="3" xfId="0" applyNumberFormat="1" applyFont="1" applyFill="1" applyBorder="1" applyAlignment="1">
      <x:alignment horizontal="right" vertical="center" wrapText="1"/>
    </x:xf>
    <x:xf numFmtId="200" fontId="3" fillId="0" borderId="3" xfId="0" applyNumberFormat="1" applyFont="1" applyFill="1" applyBorder="1" applyAlignment="1">
      <x:alignment horizontal="right" vertical="center" wrapText="1"/>
    </x:xf>
    <x:xf numFmtId="201" fontId="3" fillId="4" borderId="3" xfId="0" applyNumberFormat="1" applyFont="1" applyFill="1" applyBorder="1" applyAlignment="1">
      <x:alignment horizontal="right" vertical="center" wrapText="1"/>
    </x:xf>
    <x:xf numFmtId="201" fontId="3" fillId="0" borderId="3" xfId="0" applyNumberFormat="1" applyFont="1" applyFill="1" applyBorder="1" applyAlignment="1">
      <x:alignment horizontal="right" vertical="center" wrapText="1"/>
    </x:xf>
    <x:xf numFmtId="202" fontId="3" fillId="3" borderId="3" xfId="0" applyNumberFormat="1" applyFont="1" applyFill="1" applyBorder="1" applyAlignment="1">
      <x:alignment horizontal="right"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4" fontId="3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2987cf1e04705" /><Relationship Type="http://schemas.openxmlformats.org/officeDocument/2006/relationships/theme" Target="/xl/theme/theme1.xml" Id="Rc6c33e5e35f84cae" /><Relationship Type="http://schemas.openxmlformats.org/officeDocument/2006/relationships/sharedStrings" Target="/xl/sharedStrings.xml" Id="Rb9d95ab3a138453c" /><Relationship Type="http://schemas.openxmlformats.org/officeDocument/2006/relationships/worksheet" Target="/xl/worksheets/sheet1.xml" Id="R1cf5d8399e024db3" /><Relationship Type="http://schemas.openxmlformats.org/officeDocument/2006/relationships/worksheet" Target="/xl/worksheets/sheet2.xml" Id="R58db29a08da743ef" /><Relationship Type="http://schemas.openxmlformats.org/officeDocument/2006/relationships/worksheet" Target="/xl/worksheets/sheet3.xml" Id="R44b446a20f8948fb" /><Relationship Type="http://schemas.openxmlformats.org/officeDocument/2006/relationships/worksheet" Target="/xl/worksheets/sheet4.xml" Id="R6f6d9293f63c4b4e" /><Relationship Type="http://schemas.openxmlformats.org/officeDocument/2006/relationships/worksheet" Target="/xl/worksheets/sheet5.xml" Id="R847980530bd24bac" /><Relationship Type="http://schemas.openxmlformats.org/officeDocument/2006/relationships/worksheet" Target="/xl/worksheets/sheet6.xml" Id="R18e2b36d9c2449af" /><Relationship Type="http://schemas.openxmlformats.org/officeDocument/2006/relationships/worksheet" Target="/xl/worksheets/sheet7.xml" Id="R16cead56871e4228" /><Relationship Type="http://schemas.openxmlformats.org/officeDocument/2006/relationships/worksheet" Target="/xl/worksheets/sheet8.xml" Id="R529a5cab1eaa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18" hidden="0" customWidth="1"/>
    <x:col min="6" max="6" width="22" hidden="0" customWidth="1"/>
    <x:col min="7" max="7" width="46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C1" s="8"/>
      <x:c r="D1" s="8"/>
      <x:c r="E1" s="8"/>
      <x:c r="F1" s="8"/>
      <x:c r="G1" s="8"/>
      <x:c r="H1" s="8"/>
      <x:c r="I1" s="8"/>
      <x:c r="J1" s="8"/>
    </x:row>
    <x:row r="2">
      <x:c r="C2" s="9" t="str">
        <x:v>FitClub ЛЗ8 — қорытынды</x:v>
      </x:c>
      <x:c r="D2" s="10"/>
      <x:c r="E2" s="10"/>
      <x:c r="F2" s="10"/>
      <x:c r="G2" s="10"/>
      <x:c r="H2" s="10"/>
      <x:c r="I2" s="10"/>
      <x:c r="J2" s="10"/>
    </x:row>
    <x:row r="3">
      <x:c r="C3" s="11" t="str">
        <x:v>SoW · SLO/SLA · 12 ай бюджет · unit-экономика · 3 жылдық хостинг</x:v>
      </x:c>
      <x:c r="D3" s="11"/>
      <x:c r="E3" s="11"/>
      <x:c r="F3" s="11"/>
      <x:c r="G3" s="11"/>
      <x:c r="H3" s="11"/>
      <x:c r="I3" s="11"/>
      <x:c r="J3" s="11"/>
    </x:row>
    <x:row r="4">
      <x:c r="C4" s="8"/>
      <x:c r="D4" s="8"/>
      <x:c r="E4" s="8"/>
      <x:c r="F4" s="8"/>
      <x:c r="G4" s="8"/>
      <x:c r="H4" s="8"/>
      <x:c r="I4" s="8"/>
      <x:c r="J4" s="8"/>
    </x:row>
    <x:row r="5">
      <x:c r="C5" s="8"/>
      <x:c r="D5" s="8"/>
      <x:c r="E5" s="8"/>
      <x:c r="F5" s="8"/>
      <x:c r="G5" s="8"/>
      <x:c r="H5" s="8"/>
      <x:c r="I5" s="8"/>
      <x:c r="J5" s="8"/>
    </x:row>
    <x:row r="6">
      <x:c r="C6" s="16" t="str">
        <x:v>Көрсеткіш</x:v>
      </x:c>
      <x:c r="D6" s="16" t="str">
        <x:v>Мән</x:v>
      </x:c>
      <x:c r="E6" s="16" t="str">
        <x:v>Өлшем</x:v>
      </x:c>
      <x:c r="F6" s="16" t="str">
        <x:v>Негіз</x:v>
      </x:c>
      <x:c r="G6" s="16" t="str">
        <x:v>Түсіндіру</x:v>
      </x:c>
      <x:c r="H6" s="16" t="str"/>
      <x:c r="I6" s="16" t="str"/>
      <x:c r="J6" s="16" t="str"/>
    </x:row>
    <x:row r="7">
      <x:c r="C7" s="18" t="str">
        <x:v>12 айлық бюджет</x:v>
      </x:c>
      <x:c r="D7" s="40" t="n">
        <x:f>'12 ай бюджет'!G16</x:f>
        <x:v>4752553.187428571</x:v>
      </x:c>
      <x:c r="E7" s="18" t="str">
        <x:v>₸</x:v>
      </x:c>
      <x:c r="F7" s="18" t="str">
        <x:v>ЛЗ3 + жаңартылған FX</x:v>
      </x:c>
      <x:c r="G7" s="18" t="str">
        <x:v>Бір реттік және 1-жыл операциясы</x:v>
      </x:c>
      <x:c r="H7" s="8"/>
      <x:c r="I7" s="8"/>
      <x:c r="J7" s="8"/>
    </x:row>
    <x:row r="8">
      <x:c r="C8" s="18" t="str">
        <x:v>Бір клиентке айлық шығын, 1-жыл</x:v>
      </x:c>
      <x:c r="D8" s="40" t="n">
        <x:f>'Unit экономика'!D9</x:f>
        <x:v>1320.153663174603</x:v>
      </x:c>
      <x:c r="E8" s="18" t="str">
        <x:v>₸</x:v>
      </x:c>
      <x:c r="F8" s="18" t="str">
        <x:v>300 клиент</x:v>
      </x:c>
      <x:c r="G8" s="18" t="str">
        <x:v>Толық бюджет / 12 / клиент</x:v>
      </x:c>
      <x:c r="H8" s="8"/>
      <x:c r="I8" s="8"/>
      <x:c r="J8" s="8"/>
    </x:row>
    <x:row r="9">
      <x:c r="C9" s="18" t="str">
        <x:v>Бір клиентке айлық экономикалық әсер</x:v>
      </x:c>
      <x:c r="D9" s="40" t="n">
        <x:f>'Unit экономика'!D11</x:f>
        <x:v>936</x:v>
      </x:c>
      <x:c r="E9" s="18" t="str">
        <x:v>₸</x:v>
      </x:c>
      <x:c r="F9" s="18" t="str">
        <x:v>ЛЗ3</x:v>
      </x:c>
      <x:c r="G9" s="18" t="str">
        <x:v>Түсім емес</x:v>
      </x:c>
      <x:c r="H9" s="8"/>
      <x:c r="I9" s="8"/>
      <x:c r="J9" s="8"/>
    </x:row>
    <x:row r="10">
      <x:c r="C10" s="18" t="str">
        <x:v>Залалсыздық, 1-жыл</x:v>
      </x:c>
      <x:c r="D10" s="42" t="n">
        <x:f>'Unit экономика'!D14</x:f>
        <x:v>424</x:v>
      </x:c>
      <x:c r="E10" s="18" t="str">
        <x:v>клиент</x:v>
      </x:c>
      <x:c r="F10" s="18" t="str">
        <x:v>Unit экономика</x:v>
      </x:c>
      <x:c r="G10" s="18" t="str">
        <x:v>Әзірлеу құны кірген</x:v>
      </x:c>
      <x:c r="H10" s="8"/>
      <x:c r="I10" s="8"/>
      <x:c r="J10" s="8"/>
    </x:row>
    <x:row r="11">
      <x:c r="C11" s="18" t="str">
        <x:v>Залалсыздық, тұрақты пайдалану</x:v>
      </x:c>
      <x:c r="D11" s="42" t="n">
        <x:f>'Unit экономика'!E14</x:f>
        <x:v>62</x:v>
      </x:c>
      <x:c r="E11" s="18" t="str">
        <x:v>клиент</x:v>
      </x:c>
      <x:c r="F11" s="18" t="str">
        <x:v>Unit экономика</x:v>
      </x:c>
      <x:c r="G11" s="18" t="str">
        <x:v>Бір реттік шығынсыз</x:v>
      </x:c>
      <x:c r="H11" s="8"/>
      <x:c r="I11" s="8"/>
      <x:c r="J11" s="8"/>
    </x:row>
    <x:row r="12">
      <x:c r="C12" s="18" t="str">
        <x:v>AWS public cloud, 3 жыл</x:v>
      </x:c>
      <x:c r="D12" s="18" t="n">
        <x:f>'Хостинг 3 жыл'!H7</x:f>
        <x:v>872097.8400000001</x:v>
      </x:c>
      <x:c r="E12" s="18" t="str">
        <x:v>₸</x:v>
      </x:c>
      <x:c r="F12" s="18" t="str">
        <x:v>S1/S5</x:v>
      </x:c>
      <x:c r="G12" s="18" t="str">
        <x:v>VM + managed PostgreSQL</x:v>
      </x:c>
      <x:c r="H12" s="8"/>
      <x:c r="I12" s="8"/>
      <x:c r="J12" s="8"/>
    </x:row>
    <x:row r="13">
      <x:c r="C13" s="18" t="str">
        <x:v>Өз инфрақұрылымы, 3 жыл</x:v>
      </x:c>
      <x:c r="D13" s="18" t="n">
        <x:f>'Хостинг 3 жыл'!H8</x:f>
        <x:v>134884.09000000003</x:v>
      </x:c>
      <x:c r="E13" s="18" t="str">
        <x:v>₸ төменгі шек</x:v>
      </x:c>
      <x:c r="F13" s="18" t="str">
        <x:v>S1/S6</x:v>
      </x:c>
      <x:c r="G13" s="18" t="str">
        <x:v>Толық TCO емес</x:v>
      </x:c>
      <x:c r="H13" s="8"/>
      <x:c r="I13" s="8"/>
      <x:c r="J13" s="8"/>
    </x:row>
    <x:row r="14">
      <x:c r="C14" s="18" t="str">
        <x:v>Open stack/VPS, 3 жыл</x:v>
      </x:c>
      <x:c r="D14" s="18" t="n">
        <x:f>'Хостинг 3 жыл'!H9</x:f>
        <x:v>465118.848</x:v>
      </x:c>
      <x:c r="E14" s="18" t="str">
        <x:v>₸</x:v>
      </x:c>
      <x:c r="F14" s="18" t="str">
        <x:v>S1/S3/S4</x:v>
      </x:c>
      <x:c r="G14" s="18" t="str">
        <x:v>Droplet + weekly backup</x:v>
      </x:c>
      <x:c r="H14" s="8"/>
      <x:c r="I14" s="8"/>
      <x:c r="J14" s="8"/>
    </x:row>
    <x:row r="15">
      <x:c r="C15" s="18" t="str">
        <x:v>30 күндік availability error budget</x:v>
      </x:c>
      <x:c r="D15" s="51" t="n">
        <x:f>'SLO SLA'!D17</x:f>
        <x:v>3.600000000000003</x:v>
      </x:c>
      <x:c r="E15" s="18" t="str">
        <x:v>сағат</x:v>
      </x:c>
      <x:c r="F15" s="18" t="str">
        <x:v>99%, 12 сағ/күн</x:v>
      </x:c>
      <x:c r="G15" s="18" t="str">
        <x:v>3 сағ 36 мин</x:v>
      </x:c>
      <x:c r="H15" s="8"/>
      <x:c r="I15" s="8"/>
      <x:c r="J15" s="8"/>
    </x:row>
    <x:row r="16">
      <x:c r="C16" s="8"/>
      <x:c r="D16" s="8"/>
      <x:c r="E16" s="8"/>
      <x:c r="F16" s="8"/>
      <x:c r="G16" s="8"/>
      <x:c r="H16" s="8"/>
      <x:c r="I16" s="8"/>
      <x:c r="J16" s="8"/>
    </x:row>
    <x:row r="17">
      <x:c r="C17" s="8"/>
      <x:c r="D17" s="8"/>
      <x:c r="E17" s="8"/>
      <x:c r="F17" s="8"/>
      <x:c r="G17" s="8"/>
      <x:c r="H17" s="8"/>
      <x:c r="I17" s="8"/>
      <x:c r="J17" s="8"/>
    </x:row>
    <x:row r="18">
      <x:c r="C18" s="54" t="str">
        <x:v>Шешім</x:v>
      </x:c>
      <x:c r="D18" s="55" t="str"/>
      <x:c r="E18" s="55" t="str"/>
      <x:c r="F18" s="55" t="str"/>
      <x:c r="G18" s="55" t="str"/>
      <x:c r="H18" s="55" t="str"/>
      <x:c r="I18" s="55" t="str"/>
      <x:c r="J18" s="56" t="str"/>
    </x:row>
    <x:row r="19">
      <x:c r="C19" s="57" t="str">
        <x:v>MVP үшін негізгі нұсқа — жалдамалы сервердегі Ubuntu + PostgreSQL ашық стек. Бұл ЛЗ3-тегі шешіммен сәйкес, 3 жылдық жарияланған инфрақұрылым құны public cloud managed DB нұсқасынан төмен және own infrastructure сияқты белгісіз жергілікті шығындарға тәуелді емес. Бұл — тарифтер мен жоба талаптарына сүйенген ұсыныс, нақты сатып алу емес.</x:v>
      </x:c>
      <x:c r="D19" s="57"/>
      <x:c r="E19" s="57"/>
      <x:c r="F19" s="57"/>
      <x:c r="G19" s="57"/>
      <x:c r="H19" s="57"/>
      <x:c r="I19" s="57"/>
      <x:c r="J19" s="57"/>
    </x:row>
    <x:row r="20">
      <x:c r="C20" s="57"/>
      <x:c r="D20" s="57"/>
      <x:c r="E20" s="57"/>
      <x:c r="F20" s="57"/>
      <x:c r="G20" s="57"/>
      <x:c r="H20" s="57"/>
      <x:c r="I20" s="57"/>
      <x:c r="J20" s="57"/>
    </x:row>
    <x:row r="21">
      <x:c r="C21" s="57"/>
      <x:c r="D21" s="57"/>
      <x:c r="E21" s="57"/>
      <x:c r="F21" s="57"/>
      <x:c r="G21" s="57"/>
      <x:c r="H21" s="57"/>
      <x:c r="I21" s="57"/>
      <x:c r="J21" s="57"/>
    </x:row>
    <x:row r="22">
      <x:c r="C22" s="57"/>
      <x:c r="D22" s="57"/>
      <x:c r="E22" s="57"/>
      <x:c r="F22" s="57"/>
      <x:c r="G22" s="57"/>
      <x:c r="H22" s="57"/>
      <x:c r="I22" s="57"/>
      <x:c r="J22" s="57"/>
    </x:row>
    <x:row r="23">
      <x:c r="C23" s="8"/>
      <x:c r="D23" s="8"/>
      <x:c r="E23" s="8"/>
      <x:c r="F23" s="8"/>
      <x:c r="G23" s="8"/>
      <x:c r="H23" s="8"/>
      <x:c r="I23" s="8"/>
      <x:c r="J23" s="8"/>
    </x:row>
    <x:row r="24">
      <x:c r="C24" s="8"/>
      <x:c r="D24" s="8"/>
      <x:c r="E24" s="8"/>
      <x:c r="F24" s="8"/>
      <x:c r="G24" s="8"/>
      <x:c r="H24" s="8"/>
      <x:c r="I24" s="8"/>
      <x:c r="J24" s="8"/>
    </x:row>
    <x:row r="25">
      <x:c r="C25" s="45" t="str">
        <x:v>Не нақты емес?</x:v>
      </x:c>
      <x:c r="D25" s="46" t="str"/>
      <x:c r="E25" s="46" t="str"/>
      <x:c r="F25" s="46" t="str"/>
      <x:c r="G25" s="46" t="str"/>
      <x:c r="H25" s="46" t="str"/>
      <x:c r="I25" s="46" t="str"/>
      <x:c r="J25" s="47" t="str"/>
    </x:row>
    <x:row r="26">
      <x:c r="C26" s="58" t="str">
        <x:v>300 клиент, 600 операция, 720 әзірлеу сағаты, 15 000 ₸ домен/мониторинг және экономикалық әсер — ЛЗ3-тен алынған тексерілетін болжамдар. Own infrastructure үшін жеткізу, кеден, UPS, электр және ISP бағасы жоқ. Сондықтан есеп оларды факт ретінде көрсетпейді және коммерциялық ұсыныссыз production бюджетіне қоспайды.</x:v>
      </x:c>
      <x:c r="D26" s="58"/>
      <x:c r="E26" s="58"/>
      <x:c r="F26" s="58"/>
      <x:c r="G26" s="58"/>
      <x:c r="H26" s="58"/>
      <x:c r="I26" s="58"/>
      <x:c r="J26" s="58"/>
    </x:row>
    <x:row r="27">
      <x:c r="C27" s="58"/>
      <x:c r="D27" s="58"/>
      <x:c r="E27" s="58"/>
      <x:c r="F27" s="58"/>
      <x:c r="G27" s="58"/>
      <x:c r="H27" s="58"/>
      <x:c r="I27" s="58"/>
      <x:c r="J27" s="58"/>
    </x:row>
    <x:row r="28">
      <x:c r="C28" s="58"/>
      <x:c r="D28" s="58"/>
      <x:c r="E28" s="58"/>
      <x:c r="F28" s="58"/>
      <x:c r="G28" s="58"/>
      <x:c r="H28" s="58"/>
      <x:c r="I28" s="58"/>
      <x:c r="J28" s="58"/>
    </x:row>
    <x:row r="29">
      <x:c r="C29" s="58"/>
      <x:c r="D29" s="58"/>
      <x:c r="E29" s="58"/>
      <x:c r="F29" s="58"/>
      <x:c r="G29" s="58"/>
      <x:c r="H29" s="58"/>
      <x:c r="I29" s="58"/>
      <x:c r="J29" s="58"/>
    </x:row>
    <x:row r="30">
      <x:c r="C30" s="58"/>
      <x:c r="D30" s="58"/>
      <x:c r="E30" s="58"/>
      <x:c r="F30" s="58"/>
      <x:c r="G30" s="58"/>
      <x:c r="H30" s="58"/>
      <x:c r="I30" s="58"/>
      <x:c r="J30" s="58"/>
    </x:row>
    <x:row r="31">
      <x:c r="C31" s="8"/>
      <x:c r="D31" s="8"/>
      <x:c r="E31" s="8"/>
      <x:c r="F31" s="8"/>
      <x:c r="G31" s="8"/>
      <x:c r="H31" s="8"/>
      <x:c r="I31" s="8"/>
      <x:c r="J31" s="8"/>
    </x:row>
    <x:row r="32">
      <x:c r="C32" s="8"/>
      <x:c r="D32" s="8"/>
      <x:c r="E32" s="8"/>
      <x:c r="F32" s="8"/>
      <x:c r="G32" s="8"/>
      <x:c r="H32" s="8"/>
      <x:c r="I32" s="8"/>
      <x:c r="J32" s="8"/>
    </x:row>
    <x:row r="33">
      <x:c r="C33" s="8"/>
      <x:c r="D33" s="8"/>
      <x:c r="E33" s="8"/>
      <x:c r="F33" s="8"/>
      <x:c r="G33" s="8"/>
      <x:c r="H33" s="8"/>
      <x:c r="I33" s="8"/>
      <x:c r="J33" s="8"/>
    </x:row>
    <x:row r="34">
      <x:c r="C34" s="8"/>
      <x:c r="D34" s="8"/>
      <x:c r="E34" s="8"/>
      <x:c r="F34" s="8"/>
      <x:c r="G34" s="8"/>
      <x:c r="H34" s="8"/>
      <x:c r="I34" s="8"/>
      <x:c r="J34" s="8"/>
    </x:row>
    <x:row r="35">
      <x:c r="C35" s="8"/>
      <x:c r="D35" s="8"/>
      <x:c r="E35" s="8"/>
      <x:c r="F35" s="8"/>
      <x:c r="G35" s="8"/>
      <x:c r="H35" s="8"/>
      <x:c r="I35" s="8"/>
      <x:c r="J35" s="8"/>
    </x:row>
    <x:row r="36">
      <x:c r="C36" s="8"/>
      <x:c r="D36" s="8"/>
      <x:c r="E36" s="8"/>
      <x:c r="F36" s="8"/>
      <x:c r="G36" s="8"/>
      <x:c r="H36" s="8"/>
      <x:c r="I36" s="8"/>
      <x:c r="J36" s="8"/>
    </x:row>
    <x:row r="37">
      <x:c r="C37" s="8"/>
      <x:c r="D37" s="8"/>
      <x:c r="E37" s="8"/>
      <x:c r="F37" s="8"/>
      <x:c r="G37" s="8"/>
      <x:c r="H37" s="8"/>
      <x:c r="I37" s="8"/>
      <x:c r="J37" s="8"/>
    </x:row>
    <x:row r="38">
      <x:c r="C38" s="8"/>
      <x:c r="D38" s="8"/>
      <x:c r="E38" s="8"/>
      <x:c r="F38" s="8"/>
      <x:c r="G38" s="8"/>
      <x:c r="H38" s="8"/>
      <x:c r="I38" s="8"/>
      <x:c r="J38" s="8"/>
    </x:row>
    <x:row r="39">
      <x:c r="C39" s="8"/>
      <x:c r="D39" s="8"/>
      <x:c r="E39" s="8"/>
      <x:c r="F39" s="8"/>
      <x:c r="G39" s="8"/>
      <x:c r="H39" s="8"/>
      <x:c r="I39" s="8"/>
      <x:c r="J39" s="8"/>
    </x:row>
    <x:row r="40">
      <x:c r="C40" s="8"/>
      <x:c r="D40" s="8"/>
      <x:c r="E40" s="8"/>
      <x:c r="F40" s="8"/>
      <x:c r="G40" s="8"/>
      <x:c r="H40" s="8"/>
      <x:c r="I40" s="8"/>
      <x:c r="J40" s="8"/>
    </x:row>
    <x:row r="41">
      <x:c r="C41" s="8"/>
      <x:c r="D41" s="8"/>
      <x:c r="E41" s="8"/>
      <x:c r="F41" s="8"/>
      <x:c r="G41" s="8"/>
      <x:c r="H41" s="8"/>
      <x:c r="I41" s="8"/>
      <x:c r="J41" s="8"/>
    </x:row>
    <x:row r="42">
      <x:c r="C42" s="8"/>
      <x:c r="D42" s="8"/>
      <x:c r="E42" s="8"/>
      <x:c r="F42" s="8"/>
      <x:c r="G42" s="8"/>
      <x:c r="H42" s="8"/>
      <x:c r="I42" s="8"/>
      <x:c r="J42" s="8"/>
    </x:row>
    <x:row r="43">
      <x:c r="C43" s="8"/>
      <x:c r="D43" s="8"/>
      <x:c r="E43" s="8"/>
      <x:c r="F43" s="8"/>
      <x:c r="G43" s="8"/>
      <x:c r="H43" s="8"/>
      <x:c r="I43" s="8"/>
      <x:c r="J43" s="8"/>
    </x:row>
    <x:row r="44">
      <x:c r="C44" s="8"/>
      <x:c r="D44" s="8"/>
      <x:c r="E44" s="8"/>
      <x:c r="F44" s="8"/>
      <x:c r="G44" s="8"/>
      <x:c r="H44" s="8"/>
      <x:c r="I44" s="8"/>
      <x:c r="J44" s="8"/>
    </x:row>
    <x:row r="45">
      <x:c r="C45" s="8"/>
      <x:c r="D45" s="8"/>
      <x:c r="E45" s="8"/>
      <x:c r="F45" s="8"/>
      <x:c r="G45" s="8"/>
      <x:c r="H45" s="8"/>
      <x:c r="I45" s="8"/>
      <x:c r="J45" s="8"/>
    </x:row>
    <x:row r="46">
      <x:c r="C46" s="8"/>
      <x:c r="D46" s="8"/>
      <x:c r="E46" s="8"/>
      <x:c r="F46" s="8"/>
      <x:c r="G46" s="8"/>
      <x:c r="H46" s="8"/>
      <x:c r="I46" s="8"/>
      <x:c r="J46" s="8"/>
    </x:row>
    <x:row r="47">
      <x:c r="C47" s="8"/>
      <x:c r="D47" s="8"/>
      <x:c r="E47" s="8"/>
      <x:c r="F47" s="8"/>
      <x:c r="G47" s="8"/>
      <x:c r="H47" s="8"/>
      <x:c r="I47" s="8"/>
      <x:c r="J47" s="8"/>
    </x:row>
    <x:row r="48">
      <x:c r="C48" s="8"/>
      <x:c r="D48" s="8"/>
      <x:c r="E48" s="8"/>
      <x:c r="F48" s="8"/>
      <x:c r="G48" s="8"/>
      <x:c r="H48" s="8"/>
      <x:c r="I48" s="8"/>
      <x:c r="J48" s="8"/>
    </x:row>
    <x:row r="49">
      <x:c r="C49" s="8"/>
      <x:c r="D49" s="8"/>
      <x:c r="E49" s="8"/>
      <x:c r="F49" s="8"/>
      <x:c r="G49" s="8"/>
      <x:c r="H49" s="8"/>
      <x:c r="I49" s="8"/>
      <x:c r="J49" s="8"/>
    </x:row>
    <x:row r="50">
      <x:c r="C50" s="8"/>
      <x:c r="D50" s="8"/>
      <x:c r="E50" s="8"/>
      <x:c r="F50" s="8"/>
      <x:c r="G50" s="8"/>
      <x:c r="H50" s="8"/>
      <x:c r="I50" s="8"/>
      <x:c r="J50" s="8"/>
    </x:row>
    <x:row r="51">
      <x:c r="C51" s="8"/>
      <x:c r="D51" s="8"/>
      <x:c r="E51" s="8"/>
      <x:c r="F51" s="8"/>
      <x:c r="G51" s="8"/>
      <x:c r="H51" s="8"/>
      <x:c r="I51" s="8"/>
      <x:c r="J51" s="8"/>
    </x:row>
    <x:row r="52">
      <x:c r="C52" s="8"/>
      <x:c r="D52" s="8"/>
      <x:c r="E52" s="8"/>
      <x:c r="F52" s="8"/>
      <x:c r="G52" s="8"/>
      <x:c r="H52" s="8"/>
      <x:c r="I52" s="8"/>
      <x:c r="J52" s="8"/>
    </x:row>
    <x:row r="53">
      <x:c r="C53" s="8"/>
      <x:c r="D53" s="8"/>
      <x:c r="E53" s="8"/>
      <x:c r="F53" s="8"/>
      <x:c r="G53" s="8"/>
      <x:c r="H53" s="8"/>
      <x:c r="I53" s="8"/>
      <x:c r="J53" s="8"/>
    </x:row>
    <x:row r="54">
      <x:c r="C54" s="8"/>
      <x:c r="D54" s="8"/>
      <x:c r="E54" s="8"/>
      <x:c r="F54" s="8"/>
      <x:c r="G54" s="8"/>
      <x:c r="H54" s="8"/>
      <x:c r="I54" s="8"/>
      <x:c r="J54" s="8"/>
    </x:row>
    <x:row r="55">
      <x:c r="C55" s="8"/>
      <x:c r="D55" s="8"/>
      <x:c r="E55" s="8"/>
      <x:c r="F55" s="8"/>
      <x:c r="G55" s="8"/>
      <x:c r="H55" s="8"/>
      <x:c r="I55" s="8"/>
      <x:c r="J55" s="8"/>
    </x:row>
    <x:row r="56">
      <x:c r="C56" s="8"/>
      <x:c r="D56" s="8"/>
      <x:c r="E56" s="8"/>
      <x:c r="F56" s="8"/>
      <x:c r="G56" s="8"/>
      <x:c r="H56" s="8"/>
      <x:c r="I56" s="8"/>
      <x:c r="J56" s="8"/>
    </x:row>
    <x:row r="57">
      <x:c r="C57" s="8"/>
      <x:c r="D57" s="8"/>
      <x:c r="E57" s="8"/>
      <x:c r="F57" s="8"/>
      <x:c r="G57" s="8"/>
      <x:c r="H57" s="8"/>
      <x:c r="I57" s="8"/>
      <x:c r="J57" s="8"/>
    </x:row>
    <x:row r="58">
      <x:c r="C58" s="8"/>
      <x:c r="D58" s="8"/>
      <x:c r="E58" s="8"/>
      <x:c r="F58" s="8"/>
      <x:c r="G58" s="8"/>
      <x:c r="H58" s="8"/>
      <x:c r="I58" s="8"/>
      <x:c r="J58" s="8"/>
    </x:row>
    <x:row r="59">
      <x:c r="C59" s="8"/>
      <x:c r="D59" s="8"/>
      <x:c r="E59" s="8"/>
      <x:c r="F59" s="8"/>
      <x:c r="G59" s="8"/>
      <x:c r="H59" s="8"/>
      <x:c r="I59" s="8"/>
      <x:c r="J59" s="8"/>
    </x:row>
    <x:row r="60">
      <x:c r="C60" s="8"/>
      <x:c r="D60" s="8"/>
      <x:c r="E60" s="8"/>
      <x:c r="F60" s="8"/>
      <x:c r="G60" s="8"/>
      <x:c r="H60" s="8"/>
      <x:c r="I60" s="8"/>
      <x:c r="J60" s="8"/>
    </x:row>
    <x:row r="61">
      <x:c r="C61" s="8"/>
      <x:c r="D61" s="8"/>
      <x:c r="E61" s="8"/>
      <x:c r="F61" s="8"/>
      <x:c r="G61" s="8"/>
      <x:c r="H61" s="8"/>
      <x:c r="I61" s="8"/>
      <x:c r="J61" s="8"/>
    </x:row>
    <x:row r="62">
      <x:c r="C62" s="8"/>
      <x:c r="D62" s="8"/>
      <x:c r="E62" s="8"/>
      <x:c r="F62" s="8"/>
      <x:c r="G62" s="8"/>
      <x:c r="H62" s="8"/>
      <x:c r="I62" s="8"/>
      <x:c r="J62" s="8"/>
    </x:row>
    <x:row r="63">
      <x:c r="C63" s="8"/>
      <x:c r="D63" s="8"/>
      <x:c r="E63" s="8"/>
      <x:c r="F63" s="8"/>
      <x:c r="G63" s="8"/>
      <x:c r="H63" s="8"/>
      <x:c r="I63" s="8"/>
      <x:c r="J63" s="8"/>
    </x:row>
    <x:row r="64">
      <x:c r="C64" s="8"/>
      <x:c r="D64" s="8"/>
      <x:c r="E64" s="8"/>
      <x:c r="F64" s="8"/>
      <x:c r="G64" s="8"/>
      <x:c r="H64" s="8"/>
      <x:c r="I64" s="8"/>
      <x:c r="J64" s="8"/>
    </x:row>
    <x:row r="65">
      <x:c r="C65" s="8"/>
      <x:c r="D65" s="8"/>
      <x:c r="E65" s="8"/>
      <x:c r="F65" s="8"/>
      <x:c r="G65" s="8"/>
      <x:c r="H65" s="8"/>
      <x:c r="I65" s="8"/>
      <x:c r="J65" s="8"/>
    </x:row>
    <x:row r="66">
      <x:c r="C66" s="8"/>
      <x:c r="D66" s="8"/>
      <x:c r="E66" s="8"/>
      <x:c r="F66" s="8"/>
      <x:c r="G66" s="8"/>
      <x:c r="H66" s="8"/>
      <x:c r="I66" s="8"/>
      <x:c r="J66" s="8"/>
    </x:row>
    <x:row r="67">
      <x:c r="C67" s="8"/>
      <x:c r="D67" s="8"/>
      <x:c r="E67" s="8"/>
      <x:c r="F67" s="8"/>
      <x:c r="G67" s="8"/>
      <x:c r="H67" s="8"/>
      <x:c r="I67" s="8"/>
      <x:c r="J67" s="8"/>
    </x:row>
    <x:row r="68">
      <x:c r="C68" s="8"/>
      <x:c r="D68" s="8"/>
      <x:c r="E68" s="8"/>
      <x:c r="F68" s="8"/>
      <x:c r="G68" s="8"/>
      <x:c r="H68" s="8"/>
      <x:c r="I68" s="8"/>
      <x:c r="J68" s="8"/>
    </x:row>
    <x:row r="69">
      <x:c r="C69" s="8"/>
      <x:c r="D69" s="8"/>
      <x:c r="E69" s="8"/>
      <x:c r="F69" s="8"/>
      <x:c r="G69" s="8"/>
      <x:c r="H69" s="8"/>
      <x:c r="I69" s="8"/>
      <x:c r="J69" s="8"/>
    </x:row>
    <x:row r="70">
      <x:c r="C70" s="8"/>
      <x:c r="D70" s="8"/>
      <x:c r="E70" s="8"/>
      <x:c r="F70" s="8"/>
      <x:c r="G70" s="8"/>
      <x:c r="H70" s="8"/>
      <x:c r="I70" s="8"/>
      <x:c r="J70" s="8"/>
    </x:row>
  </x:sheetData>
  <x:mergeCells>
    <x:mergeCell ref="C19:J22"/>
    <x:mergeCell ref="C26:J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18" hidden="0" customWidth="1"/>
    <x:col min="6" max="6" width="19" hidden="0" customWidth="1"/>
    <x:col min="7" max="7" width="14" hidden="0" customWidth="1"/>
    <x:col min="8" max="8" width="18" hidden="0" customWidth="1"/>
    <x:col min="9" max="9" width="48" hidden="0" customWidth="1"/>
  </x:cols>
  <x:sheetData>
    <x:row r="1">
      <x:c r="C1" s="8"/>
      <x:c r="D1" s="8"/>
      <x:c r="E1" s="8"/>
      <x:c r="F1" s="8"/>
      <x:c r="G1" s="8"/>
      <x:c r="H1" s="8"/>
      <x:c r="I1" s="8"/>
    </x:row>
    <x:row r="2">
      <x:c r="C2" s="9" t="str">
        <x:v>FitClub ЛЗ8 — бастапқы дерек</x:v>
      </x:c>
      <x:c r="D2" s="10"/>
      <x:c r="E2" s="10"/>
      <x:c r="F2" s="10"/>
      <x:c r="G2" s="10"/>
      <x:c r="H2" s="10"/>
      <x:c r="I2" s="10"/>
    </x:row>
    <x:row r="3">
      <x:c r="C3" s="11" t="str">
        <x:v>Жасыл — жарияланған дереккөз; сары — ЛЗ3-тен жалғасқан тексерілетін болжам; ақ — формула.</x:v>
      </x:c>
      <x:c r="D3" s="11"/>
      <x:c r="E3" s="11"/>
      <x:c r="F3" s="11"/>
      <x:c r="G3" s="11"/>
      <x:c r="H3" s="11"/>
      <x:c r="I3" s="11"/>
    </x:row>
    <x:row r="4">
      <x:c r="C4" s="8"/>
      <x:c r="D4" s="8"/>
      <x:c r="E4" s="8"/>
      <x:c r="F4" s="8"/>
      <x:c r="G4" s="8"/>
      <x:c r="H4" s="8"/>
      <x:c r="I4" s="8"/>
    </x:row>
    <x:row r="5">
      <x:c r="C5" s="8"/>
      <x:c r="D5" s="8"/>
      <x:c r="E5" s="8"/>
      <x:c r="F5" s="8"/>
      <x:c r="G5" s="8"/>
      <x:c r="H5" s="8"/>
      <x:c r="I5" s="8"/>
    </x:row>
    <x:row r="6">
      <x:c r="C6" s="16" t="str">
        <x:v>Көрсеткіш</x:v>
      </x:c>
      <x:c r="D6" s="16" t="str">
        <x:v>Мән</x:v>
      </x:c>
      <x:c r="E6" s="16" t="str">
        <x:v>Өлшем</x:v>
      </x:c>
      <x:c r="F6" s="16" t="str">
        <x:v>Санат</x:v>
      </x:c>
      <x:c r="G6" s="16" t="str">
        <x:v>ID</x:v>
      </x:c>
      <x:c r="H6" s="16" t="str">
        <x:v>Күні/нұсқасы</x:v>
      </x:c>
      <x:c r="I6" s="16" t="str">
        <x:v>Түсініктеме</x:v>
      </x:c>
    </x:row>
    <x:row r="7">
      <x:c r="C7" s="18" t="str">
        <x:v>USD/KZT ресми бағамы</x:v>
      </x:c>
      <x:c r="D7" s="25" t="n">
        <x:v>448.61</x:v>
      </x:c>
      <x:c r="E7" s="18" t="str">
        <x:v>₸/USD</x:v>
      </x:c>
      <x:c r="F7" s="18" t="str">
        <x:v>Дереккөз</x:v>
      </x:c>
      <x:c r="G7" s="18" t="str">
        <x:v>S1</x:v>
      </x:c>
      <x:c r="H7" s="18" t="str">
        <x:v>22.10.2026</x:v>
      </x:c>
      <x:c r="I7" s="18" t="str">
        <x:v>ҚР Ұлттық Банкі</x:v>
      </x:c>
    </x:row>
    <x:row r="8">
      <x:c r="C8" s="18" t="str">
        <x:v>GBP/KZT ресми бағамы</x:v>
      </x:c>
      <x:c r="D8" s="25" t="n">
        <x:v>600.82</x:v>
      </x:c>
      <x:c r="E8" s="18" t="str">
        <x:v>₸/GBP</x:v>
      </x:c>
      <x:c r="F8" s="18" t="str">
        <x:v>Дереккөз</x:v>
      </x:c>
      <x:c r="G8" s="18" t="str">
        <x:v>S1</x:v>
      </x:c>
      <x:c r="H8" s="18" t="str">
        <x:v>22.10.2026</x:v>
      </x:c>
      <x:c r="I8" s="18" t="str">
        <x:v>ҚР Ұлттық Банкі</x:v>
      </x:c>
    </x:row>
    <x:row r="9">
      <x:c r="C9" s="18" t="str">
        <x:v>Белсенді клиенттер</x:v>
      </x:c>
      <x:c r="D9" s="23" t="n">
        <x:v>300</x:v>
      </x:c>
      <x:c r="E9" s="18" t="str">
        <x:v>клиент</x:v>
      </x:c>
      <x:c r="F9" s="18" t="str">
        <x:v>Болжам</x:v>
      </x:c>
      <x:c r="G9" s="18" t="str">
        <x:v>A2</x:v>
      </x:c>
      <x:c r="H9" s="18" t="str">
        <x:v>ЛЗ3</x:v>
      </x:c>
      <x:c r="I9" s="18" t="str">
        <x:v>Нақты клуб статистикасы емес</x:v>
      </x:c>
    </x:row>
    <x:row r="10">
      <x:c r="C10" s="18" t="str">
        <x:v>Ай сайынғы әкімшілік операциялар</x:v>
      </x:c>
      <x:c r="D10" s="23" t="n">
        <x:v>600</x:v>
      </x:c>
      <x:c r="E10" s="18" t="str">
        <x:v>операция</x:v>
      </x:c>
      <x:c r="F10" s="18" t="str">
        <x:v>Болжам</x:v>
      </x:c>
      <x:c r="G10" s="18" t="str">
        <x:v>A6</x:v>
      </x:c>
      <x:c r="H10" s="18" t="str">
        <x:v>ЛЗ3</x:v>
      </x:c>
      <x:c r="I10" s="18" t="str">
        <x:v>Тіркеу, ұзарту, кесте және төлем күйі</x:v>
      </x:c>
    </x:row>
    <x:row r="11">
      <x:c r="C11" s="18" t="str">
        <x:v>Жылдық экономикалық әсер</x:v>
      </x:c>
      <x:c r="D11" s="23" t="n">
        <x:v>3369600</x:v>
      </x:c>
      <x:c r="E11" s="18" t="str">
        <x:v>₸/жыл</x:v>
      </x:c>
      <x:c r="F11" s="18" t="str">
        <x:v>Болжам+формула</x:v>
      </x:c>
      <x:c r="G11" s="18" t="str">
        <x:v>A3–A9</x:v>
      </x:c>
      <x:c r="H11" s="18" t="str">
        <x:v>ЛЗ3</x:v>
      </x:c>
      <x:c r="I11" s="18" t="str">
        <x:v>Еңбек үнемі + сақталған кіріс + азайған операциялық шығын; бұл түсім емес</x:v>
      </x:c>
    </x:row>
    <x:row r="12">
      <x:c r="C12" s="18" t="str">
        <x:v>Ақпарат және байланыс саласының айлық жалақысы</x:v>
      </x:c>
      <x:c r="D12" s="24" t="n">
        <x:v>818114</x:v>
      </x:c>
      <x:c r="E12" s="18" t="str">
        <x:v>₸/ай</x:v>
      </x:c>
      <x:c r="F12" s="18" t="str">
        <x:v>Дереккөз</x:v>
      </x:c>
      <x:c r="G12" s="18" t="str">
        <x:v>S2</x:v>
      </x:c>
      <x:c r="H12" s="18" t="str">
        <x:v>2025 III тоқсан</x:v>
      </x:c>
      <x:c r="I12" s="18" t="str">
        <x:v>ЛЗ3-те қолданылған ресми статистикалық прокси</x:v>
      </x:c>
    </x:row>
    <x:row r="13">
      <x:c r="C13" s="18" t="str">
        <x:v>Өнер, ойын-сауық және демалыс саласының айлық жалақысы</x:v>
      </x:c>
      <x:c r="D13" s="24" t="n">
        <x:v>305088</x:v>
      </x:c>
      <x:c r="E13" s="18" t="str">
        <x:v>₸/ай</x:v>
      </x:c>
      <x:c r="F13" s="18" t="str">
        <x:v>Дереккөз</x:v>
      </x:c>
      <x:c r="G13" s="18" t="str">
        <x:v>S2</x:v>
      </x:c>
      <x:c r="H13" s="18" t="str">
        <x:v>2025 III тоқсан</x:v>
      </x:c>
      <x:c r="I13" s="18" t="str">
        <x:v>ЛЗ3-те клуб қызметкері үшін қолданылған прокси</x:v>
      </x:c>
    </x:row>
    <x:row r="14">
      <x:c r="C14" s="18" t="str">
        <x:v>Бір айдағы жұмыс сағаты</x:v>
      </x:c>
      <x:c r="D14" s="24" t="n">
        <x:v>168</x:v>
      </x:c>
      <x:c r="E14" s="18" t="str">
        <x:v>сағат</x:v>
      </x:c>
      <x:c r="F14" s="18" t="str">
        <x:v>Болжам</x:v>
      </x:c>
      <x:c r="G14" s="18" t="str">
        <x:v>A1</x:v>
      </x:c>
      <x:c r="H14" s="18" t="str">
        <x:v>ЛЗ3</x:v>
      </x:c>
      <x:c r="I14" s="18" t="str">
        <x:v>Сағаттық ставканы есептеу үшін</x:v>
      </x:c>
    </x:row>
    <x:row r="15">
      <x:c r="C15" s="18" t="str">
        <x:v>Әзірлеу еңбек сыйымдылығы</x:v>
      </x:c>
      <x:c r="D15" s="24" t="n">
        <x:v>720</x:v>
      </x:c>
      <x:c r="E15" s="18" t="str">
        <x:v>сағат</x:v>
      </x:c>
      <x:c r="F15" s="18" t="str">
        <x:v>Болжам</x:v>
      </x:c>
      <x:c r="G15" s="18" t="str">
        <x:v>A10</x:v>
      </x:c>
      <x:c r="H15" s="18" t="str">
        <x:v>ЛЗ3</x:v>
      </x:c>
      <x:c r="I15" s="18" t="str">
        <x:v>Айдос 360, Әділбек 240, Ануар 120</x:v>
      </x:c>
    </x:row>
    <x:row r="16">
      <x:c r="C16" s="18" t="str">
        <x:v>Деректерді көшіру</x:v>
      </x:c>
      <x:c r="D16" s="24" t="n">
        <x:v>80</x:v>
      </x:c>
      <x:c r="E16" s="18" t="str">
        <x:v>сағат</x:v>
      </x:c>
      <x:c r="F16" s="18" t="str">
        <x:v>Болжам</x:v>
      </x:c>
      <x:c r="G16" s="18" t="str">
        <x:v>A11</x:v>
      </x:c>
      <x:c r="H16" s="18" t="str">
        <x:v>ЛЗ3</x:v>
      </x:c>
      <x:c r="I16" s="18" t="str">
        <x:v>Клиенттер, абонементтер және кесте</x:v>
      </x:c>
    </x:row>
    <x:row r="17">
      <x:c r="C17" s="18" t="str">
        <x:v>Қызметкерлерді оқыту</x:v>
      </x:c>
      <x:c r="D17" s="24" t="n">
        <x:v>30</x:v>
      </x:c>
      <x:c r="E17" s="18" t="str">
        <x:v>сағат</x:v>
      </x:c>
      <x:c r="F17" s="18" t="str">
        <x:v>Болжам</x:v>
      </x:c>
      <x:c r="G17" s="18" t="str">
        <x:v>A12</x:v>
      </x:c>
      <x:c r="H17" s="18" t="str">
        <x:v>ЛЗ3</x:v>
      </x:c>
      <x:c r="I17" s="18" t="str">
        <x:v>Әкімші және жаттықтырушылар</x:v>
      </x:c>
    </x:row>
    <x:row r="18">
      <x:c r="C18" s="18" t="str">
        <x:v>Енгізу резерві</x:v>
      </x:c>
      <x:c r="D18" s="22" t="n">
        <x:v>0.1</x:v>
      </x:c>
      <x:c r="E18" s="18" t="str">
        <x:v>% әзірлеуден</x:v>
      </x:c>
      <x:c r="F18" s="18" t="str">
        <x:v>Болжам</x:v>
      </x:c>
      <x:c r="G18" s="18" t="str">
        <x:v>A14</x:v>
      </x:c>
      <x:c r="H18" s="18" t="str">
        <x:v>ЛЗ3</x:v>
      </x:c>
      <x:c r="I18" s="18" t="str">
        <x:v>Интеграция және белгісіздік</x:v>
      </x:c>
    </x:row>
    <x:row r="19">
      <x:c r="C19" s="18" t="str">
        <x:v>Қолдау үлесі, 1-жыл</x:v>
      </x:c>
      <x:c r="D19" s="22" t="n">
        <x:v>0.15</x:v>
      </x:c>
      <x:c r="E19" s="18" t="str">
        <x:v>% әзірлеуден</x:v>
      </x:c>
      <x:c r="F19" s="18" t="str">
        <x:v>Болжам</x:v>
      </x:c>
      <x:c r="G19" s="18" t="str">
        <x:v>A15</x:v>
      </x:c>
      <x:c r="H19" s="18" t="str">
        <x:v>ЛЗ3</x:v>
      </x:c>
      <x:c r="I19" s="18" t="str">
        <x:v>MVP тұрақтандыру</x:v>
      </x:c>
    </x:row>
    <x:row r="20">
      <x:c r="C20" s="18" t="str">
        <x:v>DigitalOcean Droplet</x:v>
      </x:c>
      <x:c r="D20" s="19" t="n">
        <x:v>24</x:v>
      </x:c>
      <x:c r="E20" s="18" t="str">
        <x:v>USD/ай</x:v>
      </x:c>
      <x:c r="F20" s="18" t="str">
        <x:v>Дереккөз</x:v>
      </x:c>
      <x:c r="G20" s="18" t="str">
        <x:v>S3</x:v>
      </x:c>
      <x:c r="H20" s="18" t="str">
        <x:v>22.10.2026</x:v>
      </x:c>
      <x:c r="I20" s="18" t="str">
        <x:v>Basic: 2 vCPU, 4 GiB, 80 GiB SSD</x:v>
      </x:c>
    </x:row>
    <x:row r="21">
      <x:c r="C21" s="18" t="str">
        <x:v>DigitalOcean апталық backup</x:v>
      </x:c>
      <x:c r="D21" s="19" t="n">
        <x:v>0.2</x:v>
      </x:c>
      <x:c r="E21" s="18" t="str">
        <x:v>% Droplet құнынан</x:v>
      </x:c>
      <x:c r="F21" s="18" t="str">
        <x:v>Дереккөз</x:v>
      </x:c>
      <x:c r="G21" s="18" t="str">
        <x:v>S4</x:v>
      </x:c>
      <x:c r="H21" s="18" t="str">
        <x:v>09.03.2026 тексерілген</x:v>
      </x:c>
      <x:c r="I21" s="18" t="str">
        <x:v>Weekly backup ресми тарифі</x:v>
      </x:c>
    </x:row>
    <x:row r="22">
      <x:c r="C22" s="18" t="str">
        <x:v>Домен және мониторинг</x:v>
      </x:c>
      <x:c r="D22" s="19" t="n">
        <x:v>15000</x:v>
      </x:c>
      <x:c r="E22" s="18" t="str">
        <x:v>₸/жыл</x:v>
      </x:c>
      <x:c r="F22" s="18" t="str">
        <x:v>Болжам</x:v>
      </x:c>
      <x:c r="G22" s="18" t="str">
        <x:v>A18</x:v>
      </x:c>
      <x:c r="H22" s="18" t="str">
        <x:v>ЛЗ3</x:v>
      </x:c>
      <x:c r="I22" s="18" t="str">
        <x:v>Коммерциялық ұсыныспен нақтыланады</x:v>
      </x:c>
    </x:row>
    <x:row r="23">
      <x:c r="C23" s="18" t="str">
        <x:v>AWS Lightsail VM</x:v>
      </x:c>
      <x:c r="D23" s="19" t="n">
        <x:v>24</x:v>
      </x:c>
      <x:c r="E23" s="18" t="str">
        <x:v>USD/ай</x:v>
      </x:c>
      <x:c r="F23" s="18" t="str">
        <x:v>Дереккөз</x:v>
      </x:c>
      <x:c r="G23" s="18" t="str">
        <x:v>S5</x:v>
      </x:c>
      <x:c r="H23" s="18" t="str">
        <x:v>22.10.2026</x:v>
      </x:c>
      <x:c r="I23" s="18" t="str">
        <x:v>Linux: 2 vCPU, 4 GB, 80 GB SSD</x:v>
      </x:c>
    </x:row>
    <x:row r="24">
      <x:c r="C24" s="18" t="str">
        <x:v>AWS Lightsail managed PostgreSQL</x:v>
      </x:c>
      <x:c r="D24" s="19" t="n">
        <x:v>30</x:v>
      </x:c>
      <x:c r="E24" s="18" t="str">
        <x:v>USD/ай</x:v>
      </x:c>
      <x:c r="F24" s="18" t="str">
        <x:v>Дереккөз</x:v>
      </x:c>
      <x:c r="G24" s="18" t="str">
        <x:v>S5</x:v>
      </x:c>
      <x:c r="H24" s="18" t="str">
        <x:v>22.10.2026</x:v>
      </x:c>
      <x:c r="I24" s="18" t="str">
        <x:v>Standard: 2 GB, 1 core, 80 GB SSD, encryption</x:v>
      </x:c>
    </x:row>
    <x:row r="25">
      <x:c r="C25" s="18" t="str">
        <x:v>Raspberry Pi 5 Starter Kit, 8 GB</x:v>
      </x:c>
      <x:c r="D25" s="19" t="n">
        <x:v>224.5</x:v>
      </x:c>
      <x:c r="E25" s="18" t="str">
        <x:v>GBP</x:v>
      </x:c>
      <x:c r="F25" s="18" t="str">
        <x:v>Дереккөз</x:v>
      </x:c>
      <x:c r="G25" s="18" t="str">
        <x:v>S6</x:v>
      </x:c>
      <x:c r="H25" s="18" t="str">
        <x:v>22.10.2026</x:v>
      </x:c>
      <x:c r="I25" s="18" t="str">
        <x:v>The Pi Hut жарияланған бағасы, VAT-пен</x:v>
      </x:c>
    </x:row>
    <x:row r="26">
      <x:c r="C26" s="18" t="str">
        <x:v>Қызмет көрсету терезесі</x:v>
      </x:c>
      <x:c r="D26" s="19" t="n">
        <x:v>12</x:v>
      </x:c>
      <x:c r="E26" s="18" t="str">
        <x:v>сағат/күн</x:v>
      </x:c>
      <x:c r="F26" s="18" t="str">
        <x:v>Жоба талабы</x:v>
      </x:c>
      <x:c r="G26" s="18" t="str">
        <x:v>NFR-02</x:v>
      </x:c>
      <x:c r="H26" s="18" t="str">
        <x:v>ЛЗ4</x:v>
      </x:c>
      <x:c r="I26" s="18" t="str">
        <x:v>08:00–20:00, 7 күн</x:v>
      </x:c>
    </x:row>
    <x:row r="27">
      <x:c r="C27" s="18" t="str">
        <x:v>Қолжетімділік мақсаты</x:v>
      </x:c>
      <x:c r="D27" s="19" t="n">
        <x:v>0.99</x:v>
      </x:c>
      <x:c r="E27" s="18" t="str">
        <x:v>%</x:v>
      </x:c>
      <x:c r="F27" s="18" t="str">
        <x:v>Жоба талабы</x:v>
      </x:c>
      <x:c r="G27" s="18" t="str">
        <x:v>NFR-02</x:v>
      </x:c>
      <x:c r="H27" s="18" t="str">
        <x:v>ЛЗ4</x:v>
      </x:c>
      <x:c r="I27" s="18" t="str">
        <x:v>Жоспарлы тоқтау да есепке кіреді</x:v>
      </x:c>
    </x:row>
    <x:row r="28">
      <x:c r="C28" s="18" t="str">
        <x:v>RPO</x:v>
      </x:c>
      <x:c r="D28" s="19" t="n">
        <x:v>24</x:v>
      </x:c>
      <x:c r="E28" s="18" t="str">
        <x:v>сағат</x:v>
      </x:c>
      <x:c r="F28" s="18" t="str">
        <x:v>Жоба талабы</x:v>
      </x:c>
      <x:c r="G28" s="18" t="str">
        <x:v>NFR-06</x:v>
      </x:c>
      <x:c r="H28" s="18" t="str">
        <x:v>ЛЗ4/ЛЗ7</x:v>
      </x:c>
      <x:c r="I28" s="18" t="str">
        <x:v>Ең көп рұқсат етілетін дерек жоғалту аралығы</x:v>
      </x:c>
    </x:row>
    <x:row r="29">
      <x:c r="C29" s="18" t="str">
        <x:v>RTO</x:v>
      </x:c>
      <x:c r="D29" s="19" t="n">
        <x:v>4</x:v>
      </x:c>
      <x:c r="E29" s="18" t="str">
        <x:v>сағат</x:v>
      </x:c>
      <x:c r="F29" s="18" t="str">
        <x:v>Жоба талабы</x:v>
      </x:c>
      <x:c r="G29" s="18" t="str">
        <x:v>NFR-06</x:v>
      </x:c>
      <x:c r="H29" s="18" t="str">
        <x:v>ЛЗ4/ЛЗ7</x:v>
      </x:c>
      <x:c r="I29" s="18" t="str">
        <x:v>Қалпына келтіру уақыты</x:v>
      </x:c>
    </x:row>
    <x:row r="30">
      <x:c r="C30" s="8"/>
      <x:c r="D30" s="8"/>
      <x:c r="E30" s="8"/>
      <x:c r="F30" s="8"/>
      <x:c r="G30" s="8"/>
      <x:c r="H30" s="8"/>
      <x:c r="I30" s="8"/>
    </x:row>
    <x:row r="31">
      <x:c r="C31" s="8"/>
      <x:c r="D31" s="8"/>
      <x:c r="E31" s="8"/>
      <x:c r="F31" s="8"/>
      <x:c r="G31" s="8"/>
      <x:c r="H31" s="8"/>
      <x:c r="I31" s="8"/>
    </x:row>
    <x:row r="32">
      <x:c r="C32" s="8"/>
      <x:c r="D32" s="8"/>
      <x:c r="E32" s="8"/>
      <x:c r="F32" s="8"/>
      <x:c r="G32" s="8"/>
      <x:c r="H32" s="8"/>
      <x:c r="I32" s="8"/>
    </x:row>
    <x:row r="33">
      <x:c r="C33" s="8"/>
      <x:c r="D33" s="8"/>
      <x:c r="E33" s="8"/>
      <x:c r="F33" s="8"/>
      <x:c r="G33" s="8"/>
      <x:c r="H33" s="8"/>
      <x:c r="I33" s="8"/>
    </x:row>
    <x:row r="34">
      <x:c r="C34" s="8"/>
      <x:c r="D34" s="8"/>
      <x:c r="E34" s="8"/>
      <x:c r="F34" s="8"/>
      <x:c r="G34" s="8"/>
      <x:c r="H34" s="8"/>
      <x:c r="I34" s="8"/>
    </x:row>
    <x:row r="35">
      <x:c r="C35" s="8"/>
      <x:c r="D35" s="8"/>
      <x:c r="E35" s="8"/>
      <x:c r="F35" s="8"/>
      <x:c r="G35" s="8"/>
      <x:c r="H35" s="8"/>
      <x:c r="I35" s="8"/>
    </x:row>
    <x:row r="36">
      <x:c r="C36" s="8"/>
      <x:c r="D36" s="8"/>
      <x:c r="E36" s="8"/>
      <x:c r="F36" s="8"/>
      <x:c r="G36" s="8"/>
      <x:c r="H36" s="8"/>
      <x:c r="I36" s="8"/>
    </x:row>
    <x:row r="37">
      <x:c r="C37" s="8"/>
      <x:c r="D37" s="8"/>
      <x:c r="E37" s="8"/>
      <x:c r="F37" s="8"/>
      <x:c r="G37" s="8"/>
      <x:c r="H37" s="8"/>
      <x:c r="I37" s="8"/>
    </x:row>
    <x:row r="38">
      <x:c r="C38" s="8"/>
      <x:c r="D38" s="8"/>
      <x:c r="E38" s="8"/>
      <x:c r="F38" s="8"/>
      <x:c r="G38" s="8"/>
      <x:c r="H38" s="8"/>
      <x:c r="I38" s="8"/>
    </x:row>
    <x:row r="39">
      <x:c r="C39" s="8"/>
      <x:c r="D39" s="8"/>
      <x:c r="E39" s="8"/>
      <x:c r="F39" s="8"/>
      <x:c r="G39" s="8"/>
      <x:c r="H39" s="8"/>
      <x:c r="I39" s="8"/>
    </x:row>
    <x:row r="40">
      <x:c r="C40" s="8"/>
      <x:c r="D40" s="8"/>
      <x:c r="E40" s="8"/>
      <x:c r="F40" s="8"/>
      <x:c r="G40" s="8"/>
      <x:c r="H40" s="8"/>
      <x:c r="I40" s="8"/>
    </x:row>
    <x:row r="41">
      <x:c r="C41" s="8"/>
      <x:c r="D41" s="8"/>
      <x:c r="E41" s="8"/>
      <x:c r="F41" s="8"/>
      <x:c r="G41" s="8"/>
      <x:c r="H41" s="8"/>
      <x:c r="I41" s="8"/>
    </x:row>
    <x:row r="42">
      <x:c r="C42" s="8"/>
      <x:c r="D42" s="8"/>
      <x:c r="E42" s="8"/>
      <x:c r="F42" s="8"/>
      <x:c r="G42" s="8"/>
      <x:c r="H42" s="8"/>
      <x:c r="I42" s="8"/>
    </x:row>
    <x:row r="43">
      <x:c r="C43" s="8"/>
      <x:c r="D43" s="8"/>
      <x:c r="E43" s="8"/>
      <x:c r="F43" s="8"/>
      <x:c r="G43" s="8"/>
      <x:c r="H43" s="8"/>
      <x:c r="I43" s="8"/>
    </x:row>
    <x:row r="44">
      <x:c r="C44" s="8"/>
      <x:c r="D44" s="8"/>
      <x:c r="E44" s="8"/>
      <x:c r="F44" s="8"/>
      <x:c r="G44" s="8"/>
      <x:c r="H44" s="8"/>
      <x:c r="I44" s="8"/>
    </x:row>
    <x:row r="45">
      <x:c r="C45" s="8"/>
      <x:c r="D45" s="8"/>
      <x:c r="E45" s="8"/>
      <x:c r="F45" s="8"/>
      <x:c r="G45" s="8"/>
      <x:c r="H45" s="8"/>
      <x:c r="I45" s="8"/>
    </x:row>
    <x:row r="46">
      <x:c r="C46" s="8"/>
      <x:c r="D46" s="8"/>
      <x:c r="E46" s="8"/>
      <x:c r="F46" s="8"/>
      <x:c r="G46" s="8"/>
      <x:c r="H46" s="8"/>
      <x:c r="I46" s="8"/>
    </x:row>
    <x:row r="47">
      <x:c r="C47" s="8"/>
      <x:c r="D47" s="8"/>
      <x:c r="E47" s="8"/>
      <x:c r="F47" s="8"/>
      <x:c r="G47" s="8"/>
      <x:c r="H47" s="8"/>
      <x:c r="I47" s="8"/>
    </x:row>
    <x:row r="48">
      <x:c r="C48" s="8"/>
      <x:c r="D48" s="8"/>
      <x:c r="E48" s="8"/>
      <x:c r="F48" s="8"/>
      <x:c r="G48" s="8"/>
      <x:c r="H48" s="8"/>
      <x:c r="I48" s="8"/>
    </x:row>
    <x:row r="49">
      <x:c r="C49" s="8"/>
      <x:c r="D49" s="8"/>
      <x:c r="E49" s="8"/>
      <x:c r="F49" s="8"/>
      <x:c r="G49" s="8"/>
      <x:c r="H49" s="8"/>
      <x:c r="I49" s="8"/>
    </x:row>
    <x:row r="50">
      <x:c r="C50" s="8"/>
      <x:c r="D50" s="8"/>
      <x:c r="E50" s="8"/>
      <x:c r="F50" s="8"/>
      <x:c r="G50" s="8"/>
      <x:c r="H50" s="8"/>
      <x:c r="I50" s="8"/>
    </x:row>
    <x:row r="51">
      <x:c r="C51" s="8"/>
      <x:c r="D51" s="8"/>
      <x:c r="E51" s="8"/>
      <x:c r="F51" s="8"/>
      <x:c r="G51" s="8"/>
      <x:c r="H51" s="8"/>
      <x:c r="I51" s="8"/>
    </x:row>
    <x:row r="52">
      <x:c r="C52" s="8"/>
      <x:c r="D52" s="8"/>
      <x:c r="E52" s="8"/>
      <x:c r="F52" s="8"/>
      <x:c r="G52" s="8"/>
      <x:c r="H52" s="8"/>
      <x:c r="I52" s="8"/>
    </x:row>
    <x:row r="53">
      <x:c r="C53" s="8"/>
      <x:c r="D53" s="8"/>
      <x:c r="E53" s="8"/>
      <x:c r="F53" s="8"/>
      <x:c r="G53" s="8"/>
      <x:c r="H53" s="8"/>
      <x:c r="I53" s="8"/>
    </x:row>
    <x:row r="54">
      <x:c r="C54" s="8"/>
      <x:c r="D54" s="8"/>
      <x:c r="E54" s="8"/>
      <x:c r="F54" s="8"/>
      <x:c r="G54" s="8"/>
      <x:c r="H54" s="8"/>
      <x:c r="I54" s="8"/>
    </x:row>
    <x:row r="55">
      <x:c r="C55" s="8"/>
      <x:c r="D55" s="8"/>
      <x:c r="E55" s="8"/>
      <x:c r="F55" s="8"/>
      <x:c r="G55" s="8"/>
      <x:c r="H55" s="8"/>
      <x:c r="I55" s="8"/>
    </x:row>
    <x:row r="56">
      <x:c r="C56" s="8"/>
      <x:c r="D56" s="8"/>
      <x:c r="E56" s="8"/>
      <x:c r="F56" s="8"/>
      <x:c r="G56" s="8"/>
      <x:c r="H56" s="8"/>
      <x:c r="I56" s="8"/>
    </x:row>
    <x:row r="57">
      <x:c r="C57" s="8"/>
      <x:c r="D57" s="8"/>
      <x:c r="E57" s="8"/>
      <x:c r="F57" s="8"/>
      <x:c r="G57" s="8"/>
      <x:c r="H57" s="8"/>
      <x:c r="I57" s="8"/>
    </x:row>
    <x:row r="58">
      <x:c r="C58" s="8"/>
      <x:c r="D58" s="8"/>
      <x:c r="E58" s="8"/>
      <x:c r="F58" s="8"/>
      <x:c r="G58" s="8"/>
      <x:c r="H58" s="8"/>
      <x:c r="I58" s="8"/>
    </x:row>
    <x:row r="59">
      <x:c r="C59" s="8"/>
      <x:c r="D59" s="8"/>
      <x:c r="E59" s="8"/>
      <x:c r="F59" s="8"/>
      <x:c r="G59" s="8"/>
      <x:c r="H59" s="8"/>
      <x:c r="I59" s="8"/>
    </x:row>
    <x:row r="60">
      <x:c r="C60" s="8"/>
      <x:c r="D60" s="8"/>
      <x:c r="E60" s="8"/>
      <x:c r="F60" s="8"/>
      <x:c r="G60" s="8"/>
      <x:c r="H60" s="8"/>
      <x:c r="I60" s="8"/>
    </x:row>
    <x:row r="61">
      <x:c r="C61" s="8"/>
      <x:c r="D61" s="8"/>
      <x:c r="E61" s="8"/>
      <x:c r="F61" s="8"/>
      <x:c r="G61" s="8"/>
      <x:c r="H61" s="8"/>
      <x:c r="I61" s="8"/>
    </x:row>
    <x:row r="62">
      <x:c r="C62" s="8"/>
      <x:c r="D62" s="8"/>
      <x:c r="E62" s="8"/>
      <x:c r="F62" s="8"/>
      <x:c r="G62" s="8"/>
      <x:c r="H62" s="8"/>
      <x:c r="I62" s="8"/>
    </x:row>
    <x:row r="63">
      <x:c r="C63" s="8"/>
      <x:c r="D63" s="8"/>
      <x:c r="E63" s="8"/>
      <x:c r="F63" s="8"/>
      <x:c r="G63" s="8"/>
      <x:c r="H63" s="8"/>
      <x:c r="I63" s="8"/>
    </x:row>
    <x:row r="64">
      <x:c r="C64" s="8"/>
      <x:c r="D64" s="8"/>
      <x:c r="E64" s="8"/>
      <x:c r="F64" s="8"/>
      <x:c r="G64" s="8"/>
      <x:c r="H64" s="8"/>
      <x:c r="I64" s="8"/>
    </x:row>
    <x:row r="65">
      <x:c r="C65" s="8"/>
      <x:c r="D65" s="8"/>
      <x:c r="E65" s="8"/>
      <x:c r="F65" s="8"/>
      <x:c r="G65" s="8"/>
      <x:c r="H65" s="8"/>
      <x:c r="I65" s="8"/>
    </x:row>
    <x:row r="66">
      <x:c r="C66" s="8"/>
      <x:c r="D66" s="8"/>
      <x:c r="E66" s="8"/>
      <x:c r="F66" s="8"/>
      <x:c r="G66" s="8"/>
      <x:c r="H66" s="8"/>
      <x:c r="I66" s="8"/>
    </x:row>
    <x:row r="67">
      <x:c r="C67" s="8"/>
      <x:c r="D67" s="8"/>
      <x:c r="E67" s="8"/>
      <x:c r="F67" s="8"/>
      <x:c r="G67" s="8"/>
      <x:c r="H67" s="8"/>
      <x:c r="I67" s="8"/>
    </x:row>
    <x:row r="68">
      <x:c r="C68" s="8"/>
      <x:c r="D68" s="8"/>
      <x:c r="E68" s="8"/>
      <x:c r="F68" s="8"/>
      <x:c r="G68" s="8"/>
      <x:c r="H68" s="8"/>
      <x:c r="I68" s="8"/>
    </x:row>
    <x:row r="69">
      <x:c r="C69" s="8"/>
      <x:c r="D69" s="8"/>
      <x:c r="E69" s="8"/>
      <x:c r="F69" s="8"/>
      <x:c r="G69" s="8"/>
      <x:c r="H69" s="8"/>
      <x:c r="I69" s="8"/>
    </x:row>
    <x:row r="70">
      <x:c r="C70" s="8"/>
      <x:c r="D70" s="8"/>
      <x:c r="E70" s="8"/>
      <x:c r="F70" s="8"/>
      <x:c r="G70" s="8"/>
      <x:c r="H70" s="8"/>
      <x:c r="I7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25" hidden="0" customWidth="1"/>
    <x:col min="5" max="5" width="16" hidden="0" customWidth="1"/>
    <x:col min="6" max="6" width="18" hidden="0" customWidth="1"/>
    <x:col min="7" max="7" width="17" hidden="0" customWidth="1"/>
    <x:col min="8" max="8" width="18" hidden="0" customWidth="1"/>
    <x:col min="9" max="9" width="14" hidden="0" customWidth="1"/>
    <x:col min="10" max="10" width="43" hidden="0" customWidth="1"/>
  </x:cols>
  <x:sheetData>
    <x:row r="1">
      <x:c r="C1" s="8"/>
      <x:c r="D1" s="8"/>
      <x:c r="E1" s="8"/>
      <x:c r="F1" s="8"/>
      <x:c r="G1" s="8"/>
      <x:c r="H1" s="8"/>
      <x:c r="I1" s="8"/>
      <x:c r="J1" s="8"/>
    </x:row>
    <x:row r="2">
      <x:c r="C2" s="9" t="str">
        <x:v>FitClub — 12 айлық бюджет</x:v>
      </x:c>
      <x:c r="D2" s="10"/>
      <x:c r="E2" s="10"/>
      <x:c r="F2" s="10"/>
      <x:c r="G2" s="10"/>
      <x:c r="H2" s="10"/>
      <x:c r="I2" s="10"/>
      <x:c r="J2" s="10"/>
    </x:row>
    <x:row r="3">
      <x:c r="C3" s="11" t="str">
        <x:v>ЛЗ3 моделінің бастапқы мәндері сақталды; USD бағамы 22.10.2026 күніне жаңартылды.</x:v>
      </x:c>
      <x:c r="D3" s="11"/>
      <x:c r="E3" s="11"/>
      <x:c r="F3" s="11"/>
      <x:c r="G3" s="11"/>
      <x:c r="H3" s="11"/>
      <x:c r="I3" s="11"/>
      <x:c r="J3" s="11"/>
    </x:row>
    <x:row r="4">
      <x:c r="C4" s="8"/>
      <x:c r="D4" s="8"/>
      <x:c r="E4" s="8"/>
      <x:c r="F4" s="8"/>
      <x:c r="G4" s="8"/>
      <x:c r="H4" s="8"/>
      <x:c r="I4" s="8"/>
      <x:c r="J4" s="8"/>
    </x:row>
    <x:row r="5">
      <x:c r="C5" s="8"/>
      <x:c r="D5" s="8"/>
      <x:c r="E5" s="8"/>
      <x:c r="F5" s="8"/>
      <x:c r="G5" s="8"/>
      <x:c r="H5" s="8"/>
      <x:c r="I5" s="8"/>
      <x:c r="J5" s="8"/>
    </x:row>
    <x:row r="6">
      <x:c r="C6" s="16" t="str">
        <x:v>Санат</x:v>
      </x:c>
      <x:c r="D6" s="16" t="str">
        <x:v>Есеп формуласы</x:v>
      </x:c>
      <x:c r="E6" s="16" t="str">
        <x:v>Бір реттік, ₸</x:v>
      </x:c>
      <x:c r="F6" s="16" t="str">
        <x:v>1-жыл операциясы, ₸</x:v>
      </x:c>
      <x:c r="G6" s="16" t="str">
        <x:v>12 ай жиыны, ₸</x:v>
      </x:c>
      <x:c r="H6" s="16" t="str">
        <x:v>Дерек түрі</x:v>
      </x:c>
      <x:c r="I6" s="16" t="str">
        <x:v>ID</x:v>
      </x:c>
      <x:c r="J6" s="16" t="str">
        <x:v>Ескерту</x:v>
      </x:c>
    </x:row>
    <x:row r="7">
      <x:c r="C7" s="18" t="str">
        <x:v>Әзірлеу еңбегі</x:v>
      </x:c>
      <x:c r="D7" s="18" t="str">
        <x:v>720 сағ × IT ставка</x:v>
      </x:c>
      <x:c r="E7" s="24" t="n">
        <x:f>'Бастапқы дерек'!D15*('Бастапқы дерек'!D12/'Бастапқы дерек'!D14)</x:f>
        <x:v>3506202.8571428573</x:v>
      </x:c>
      <x:c r="F7" s="24" t="n">
        <x:v>0</x:v>
      </x:c>
      <x:c r="G7" s="24" t="n">
        <x:f>E7+F7</x:f>
        <x:v>3506202.8571428573</x:v>
      </x:c>
      <x:c r="H7" s="18" t="str">
        <x:v>Болжам+прокси</x:v>
      </x:c>
      <x:c r="I7" s="18" t="str">
        <x:v>A10/S2</x:v>
      </x:c>
      <x:c r="J7" s="18" t="str">
        <x:v>Ақша төлемі емес, ресурстың экономикалық құны</x:v>
      </x:c>
    </x:row>
    <x:row r="8">
      <x:c r="C8" s="18" t="str">
        <x:v>Деректерді көшіру</x:v>
      </x:c>
      <x:c r="D8" s="18" t="str">
        <x:v>80 сағ × клуб ставкасы</x:v>
      </x:c>
      <x:c r="E8" s="24" t="n">
        <x:f>'Бастапқы дерек'!D16*('Бастапқы дерек'!D13/'Бастапқы дерек'!D14)</x:f>
        <x:v>145280</x:v>
      </x:c>
      <x:c r="F8" s="24" t="n">
        <x:v>0</x:v>
      </x:c>
      <x:c r="G8" s="24" t="n">
        <x:f>E8+F8</x:f>
        <x:v>145280</x:v>
      </x:c>
      <x:c r="H8" s="18" t="str">
        <x:v>Болжам+прокси</x:v>
      </x:c>
      <x:c r="I8" s="18" t="str">
        <x:v>A11/S2</x:v>
      </x:c>
      <x:c r="J8" s="18" t="str"/>
    </x:row>
    <x:row r="9">
      <x:c r="C9" s="18" t="str">
        <x:v>Қызметкерлерді оқыту</x:v>
      </x:c>
      <x:c r="D9" s="18" t="str">
        <x:v>30 сағ × клуб ставкасы</x:v>
      </x:c>
      <x:c r="E9" s="24" t="n">
        <x:f>'Бастапқы дерек'!D17*('Бастапқы дерек'!D13/'Бастапқы дерек'!D14)</x:f>
        <x:v>54480</x:v>
      </x:c>
      <x:c r="F9" s="24" t="n">
        <x:v>0</x:v>
      </x:c>
      <x:c r="G9" s="24" t="n">
        <x:f>E9+F9</x:f>
        <x:v>54480</x:v>
      </x:c>
      <x:c r="H9" s="18" t="str">
        <x:v>Болжам+прокси</x:v>
      </x:c>
      <x:c r="I9" s="18" t="str">
        <x:v>A12/S2</x:v>
      </x:c>
      <x:c r="J9" s="18" t="str"/>
    </x:row>
    <x:row r="10">
      <x:c r="C10" s="18" t="str">
        <x:v>Енгізу резерві</x:v>
      </x:c>
      <x:c r="D10" s="18" t="str">
        <x:v>әзірлеудің 10%-ы</x:v>
      </x:c>
      <x:c r="E10" s="24" t="n">
        <x:f>E7*'Бастапқы дерек'!D18</x:f>
        <x:v>350620.28571428574</x:v>
      </x:c>
      <x:c r="F10" s="24" t="n">
        <x:v>0</x:v>
      </x:c>
      <x:c r="G10" s="24" t="n">
        <x:f>E10+F10</x:f>
        <x:v>350620.28571428574</x:v>
      </x:c>
      <x:c r="H10" s="18" t="str">
        <x:v>Болжам</x:v>
      </x:c>
      <x:c r="I10" s="18" t="str">
        <x:v>A14</x:v>
      </x:c>
      <x:c r="J10" s="18" t="str"/>
    </x:row>
    <x:row r="11">
      <x:c r="C11" s="18" t="str">
        <x:v>DigitalOcean сервері</x:v>
      </x:c>
      <x:c r="D11" s="18" t="str">
        <x:v>$24 × 12 × бағам</x:v>
      </x:c>
      <x:c r="E11" s="24" t="n">
        <x:v>0</x:v>
      </x:c>
      <x:c r="F11" s="24" t="n">
        <x:f>'Бастапқы дерек'!D20*12*'Бастапқы дерек'!D7</x:f>
        <x:v>129199.68000000001</x:v>
      </x:c>
      <x:c r="G11" s="24" t="n">
        <x:f>E11+F11</x:f>
        <x:v>129199.68000000001</x:v>
      </x:c>
      <x:c r="H11" s="18" t="str">
        <x:v>Дереккөз</x:v>
      </x:c>
      <x:c r="I11" s="18" t="str">
        <x:v>S1/S3</x:v>
      </x:c>
      <x:c r="J11" s="18" t="str">
        <x:v>2 vCPU / 4 GiB</x:v>
      </x:c>
    </x:row>
    <x:row r="12">
      <x:c r="C12" s="18" t="str">
        <x:v>Апталық backup</x:v>
      </x:c>
      <x:c r="D12" s="18" t="str">
        <x:v>сервердің 20%-ы</x:v>
      </x:c>
      <x:c r="E12" s="24" t="n">
        <x:v>0</x:v>
      </x:c>
      <x:c r="F12" s="24" t="n">
        <x:f>F11*'Бастапқы дерек'!D21</x:f>
        <x:v>25839.936</x:v>
      </x:c>
      <x:c r="G12" s="24" t="n">
        <x:f>E12+F12</x:f>
        <x:v>25839.936</x:v>
      </x:c>
      <x:c r="H12" s="18" t="str">
        <x:v>Дереккөз</x:v>
      </x:c>
      <x:c r="I12" s="18" t="str">
        <x:v>S4</x:v>
      </x:c>
      <x:c r="J12" s="18" t="str"/>
    </x:row>
    <x:row r="13">
      <x:c r="C13" s="18" t="str">
        <x:v>Домен және мониторинг</x:v>
      </x:c>
      <x:c r="D13" s="18" t="str">
        <x:v>жылдық сома</x:v>
      </x:c>
      <x:c r="E13" s="24" t="n">
        <x:v>0</x:v>
      </x:c>
      <x:c r="F13" s="24" t="n">
        <x:f>'Бастапқы дерек'!D22</x:f>
        <x:v>15000</x:v>
      </x:c>
      <x:c r="G13" s="24" t="n">
        <x:f>E13+F13</x:f>
        <x:v>15000</x:v>
      </x:c>
      <x:c r="H13" s="18" t="str">
        <x:v>Болжам</x:v>
      </x:c>
      <x:c r="I13" s="18" t="str">
        <x:v>A18</x:v>
      </x:c>
      <x:c r="J13" s="18" t="str">
        <x:v>Коммерциялық ұсыныспен нақтыланады</x:v>
      </x:c>
    </x:row>
    <x:row r="14">
      <x:c r="C14" s="18" t="str">
        <x:v>Қолдау және тұрақтандыру</x:v>
      </x:c>
      <x:c r="D14" s="18" t="str">
        <x:v>әзірлеудің 15%-ы</x:v>
      </x:c>
      <x:c r="E14" s="24" t="n">
        <x:v>0</x:v>
      </x:c>
      <x:c r="F14" s="24" t="n">
        <x:f>E7*'Бастапқы дерек'!D19</x:f>
        <x:v>525930.4285714285</x:v>
      </x:c>
      <x:c r="G14" s="24" t="n">
        <x:f>E14+F14</x:f>
        <x:v>525930.4285714285</x:v>
      </x:c>
      <x:c r="H14" s="18" t="str">
        <x:v>Болжам</x:v>
      </x:c>
      <x:c r="I14" s="18" t="str">
        <x:v>A15</x:v>
      </x:c>
      <x:c r="J14" s="18" t="str"/>
    </x:row>
    <x:row r="15">
      <x:c r="C15" s="8"/>
      <x:c r="D15" s="8"/>
      <x:c r="E15" s="33"/>
      <x:c r="F15" s="33"/>
      <x:c r="G15" s="33"/>
      <x:c r="H15" s="8"/>
      <x:c r="I15" s="8"/>
      <x:c r="J15" s="8"/>
    </x:row>
    <x:row r="16">
      <x:c r="C16" s="28" t="str">
        <x:v>12 айлық бюджет жиыны</x:v>
      </x:c>
      <x:c r="D16" s="29" t="str"/>
      <x:c r="E16" s="34" t="n">
        <x:f>SUM(E7:E14)</x:f>
        <x:v>4056583.142857143</x:v>
      </x:c>
      <x:c r="F16" s="34" t="n">
        <x:f>SUM(F7:F14)</x:f>
        <x:v>695970.0445714286</x:v>
      </x:c>
      <x:c r="G16" s="34" t="n">
        <x:f>SUM(G7:G14)</x:f>
        <x:v>4752553.187428571</x:v>
      </x:c>
      <x:c r="H16" s="29" t="str"/>
      <x:c r="I16" s="29" t="str"/>
      <x:c r="J16" s="30" t="str"/>
    </x:row>
    <x:row r="17">
      <x:c r="C17" s="8"/>
      <x:c r="D17" s="8"/>
      <x:c r="E17" s="8"/>
      <x:c r="F17" s="8"/>
      <x:c r="G17" s="8"/>
      <x:c r="H17" s="8"/>
      <x:c r="I17" s="8"/>
      <x:c r="J17" s="8"/>
    </x:row>
    <x:row r="18">
      <x:c r="C18" s="8"/>
      <x:c r="D18" s="8"/>
      <x:c r="E18" s="8"/>
      <x:c r="F18" s="8"/>
      <x:c r="G18" s="8"/>
      <x:c r="H18" s="8"/>
      <x:c r="I18" s="8"/>
      <x:c r="J18" s="8"/>
    </x:row>
    <x:row r="19">
      <x:c r="C19" s="16" t="str">
        <x:v>Бақылау</x:v>
      </x:c>
      <x:c r="D19" s="16" t="str">
        <x:v>Мән</x:v>
      </x:c>
      <x:c r="E19" s="16" t="str">
        <x:v>Өлшем</x:v>
      </x:c>
      <x:c r="F19" s="16" t="str">
        <x:v>Формула</x:v>
      </x:c>
      <x:c r="G19" s="16" t="str">
        <x:v>Күй</x:v>
      </x:c>
      <x:c r="H19" s="16" t="str">
        <x:v>Түсініктеме</x:v>
      </x:c>
      <x:c r="I19" s="8"/>
      <x:c r="J19" s="8"/>
    </x:row>
    <x:row r="20">
      <x:c r="C20" s="18" t="str">
        <x:v>Бір реттік шығын</x:v>
      </x:c>
      <x:c r="D20" s="39" t="n">
        <x:f>E16</x:f>
        <x:v>4056583.142857143</x:v>
      </x:c>
      <x:c r="E20" s="18" t="str">
        <x:v>₸</x:v>
      </x:c>
      <x:c r="F20" s="18" t="str">
        <x:v>SUM(E7:E14)</x:v>
      </x:c>
      <x:c r="G20" s="38" t="str">
        <x:v>OK</x:v>
      </x:c>
      <x:c r="H20" s="18" t="str">
        <x:v>әзірлеу, көшіру, оқыту, резерв</x:v>
      </x:c>
      <x:c r="I20" s="8"/>
      <x:c r="J20" s="8"/>
    </x:row>
    <x:row r="21">
      <x:c r="C21" s="18" t="str">
        <x:v>1-жыл операциясы</x:v>
      </x:c>
      <x:c r="D21" s="39" t="n">
        <x:f>F16</x:f>
        <x:v>695970.0445714286</x:v>
      </x:c>
      <x:c r="E21" s="18" t="str">
        <x:v>₸</x:v>
      </x:c>
      <x:c r="F21" s="18" t="str">
        <x:v>SUM(F7:F14)</x:v>
      </x:c>
      <x:c r="G21" s="38" t="str">
        <x:v>OK</x:v>
      </x:c>
      <x:c r="H21" s="18" t="str">
        <x:v>сервер, backup, домен/мониторинг, қолдау</x:v>
      </x:c>
      <x:c r="I21" s="8"/>
      <x:c r="J21" s="8"/>
    </x:row>
    <x:row r="22">
      <x:c r="C22" s="18" t="str">
        <x:v>Тексеру айырмасы</x:v>
      </x:c>
      <x:c r="D22" s="39" t="n">
        <x:f>E16+F16-G16</x:f>
        <x:v>0</x:v>
      </x:c>
      <x:c r="E22" s="18" t="str">
        <x:v>₸</x:v>
      </x:c>
      <x:c r="F22" s="18" t="str">
        <x:v>E16+F16-G16</x:v>
      </x:c>
      <x:c r="G22" s="38" t="str">
        <x:v>OK</x:v>
      </x:c>
      <x:c r="H22" s="18" t="str">
        <x:v>0 болуы тиіс</x:v>
      </x:c>
      <x:c r="I22" s="8"/>
      <x:c r="J22" s="8"/>
    </x:row>
    <x:row r="23">
      <x:c r="C23" s="18" t="str">
        <x:v>ЛЗ3-пен байланыс</x:v>
      </x:c>
      <x:c r="D23" s="18" t="str">
        <x:v>Сәйкес</x:v>
      </x:c>
      <x:c r="E23" s="18" t="str">
        <x:v>мәтін</x:v>
      </x:c>
      <x:c r="F23" s="18" t="str">
        <x:v>бірдей A1–A18</x:v>
      </x:c>
      <x:c r="G23" s="38" t="str">
        <x:v>OK</x:v>
      </x:c>
      <x:c r="H23" s="18" t="str">
        <x:v>USD бағамы ғана жаңартылды</x:v>
      </x:c>
      <x:c r="I23" s="8"/>
      <x:c r="J23" s="8"/>
    </x:row>
    <x:row r="24">
      <x:c r="C24" s="8"/>
      <x:c r="D24" s="8"/>
      <x:c r="E24" s="8"/>
      <x:c r="F24" s="8"/>
      <x:c r="G24" s="8"/>
      <x:c r="H24" s="8"/>
      <x:c r="I24" s="8"/>
      <x:c r="J24" s="8"/>
    </x:row>
    <x:row r="25">
      <x:c r="C25" s="8"/>
      <x:c r="D25" s="8"/>
      <x:c r="E25" s="8"/>
      <x:c r="F25" s="8"/>
      <x:c r="G25" s="8"/>
      <x:c r="H25" s="8"/>
      <x:c r="I25" s="8"/>
      <x:c r="J25" s="8"/>
    </x:row>
    <x:row r="26">
      <x:c r="C26" s="8"/>
      <x:c r="D26" s="8"/>
      <x:c r="E26" s="8"/>
      <x:c r="F26" s="8"/>
      <x:c r="G26" s="8"/>
      <x:c r="H26" s="8"/>
      <x:c r="I26" s="8"/>
      <x:c r="J26" s="8"/>
    </x:row>
    <x:row r="27">
      <x:c r="C27" s="8"/>
      <x:c r="D27" s="8"/>
      <x:c r="E27" s="8"/>
      <x:c r="F27" s="8"/>
      <x:c r="G27" s="8"/>
      <x:c r="H27" s="8"/>
      <x:c r="I27" s="8"/>
      <x:c r="J27" s="8"/>
    </x:row>
    <x:row r="28">
      <x:c r="C28" s="8"/>
      <x:c r="D28" s="8"/>
      <x:c r="E28" s="8"/>
      <x:c r="F28" s="8"/>
      <x:c r="G28" s="8"/>
      <x:c r="H28" s="8"/>
      <x:c r="I28" s="8"/>
      <x:c r="J28" s="8"/>
    </x:row>
    <x:row r="29">
      <x:c r="C29" s="8"/>
      <x:c r="D29" s="8"/>
      <x:c r="E29" s="8"/>
      <x:c r="F29" s="8"/>
      <x:c r="G29" s="8"/>
      <x:c r="H29" s="8"/>
      <x:c r="I29" s="8"/>
      <x:c r="J29" s="8"/>
    </x:row>
    <x:row r="30">
      <x:c r="C30" s="8"/>
      <x:c r="D30" s="8"/>
      <x:c r="E30" s="8"/>
      <x:c r="F30" s="8"/>
      <x:c r="G30" s="8"/>
      <x:c r="H30" s="8"/>
      <x:c r="I30" s="8"/>
      <x:c r="J30" s="8"/>
    </x:row>
    <x:row r="31">
      <x:c r="C31" s="8"/>
      <x:c r="D31" s="8"/>
      <x:c r="E31" s="8"/>
      <x:c r="F31" s="8"/>
      <x:c r="G31" s="8"/>
      <x:c r="H31" s="8"/>
      <x:c r="I31" s="8"/>
      <x:c r="J31" s="8"/>
    </x:row>
    <x:row r="32">
      <x:c r="C32" s="8"/>
      <x:c r="D32" s="8"/>
      <x:c r="E32" s="8"/>
      <x:c r="F32" s="8"/>
      <x:c r="G32" s="8"/>
      <x:c r="H32" s="8"/>
      <x:c r="I32" s="8"/>
      <x:c r="J32" s="8"/>
    </x:row>
    <x:row r="33">
      <x:c r="C33" s="8"/>
      <x:c r="D33" s="8"/>
      <x:c r="E33" s="8"/>
      <x:c r="F33" s="8"/>
      <x:c r="G33" s="8"/>
      <x:c r="H33" s="8"/>
      <x:c r="I33" s="8"/>
      <x:c r="J33" s="8"/>
    </x:row>
    <x:row r="34">
      <x:c r="C34" s="8"/>
      <x:c r="D34" s="8"/>
      <x:c r="E34" s="8"/>
      <x:c r="F34" s="8"/>
      <x:c r="G34" s="8"/>
      <x:c r="H34" s="8"/>
      <x:c r="I34" s="8"/>
      <x:c r="J34" s="8"/>
    </x:row>
    <x:row r="35">
      <x:c r="C35" s="8"/>
      <x:c r="D35" s="8"/>
      <x:c r="E35" s="8"/>
      <x:c r="F35" s="8"/>
      <x:c r="G35" s="8"/>
      <x:c r="H35" s="8"/>
      <x:c r="I35" s="8"/>
      <x:c r="J35" s="8"/>
    </x:row>
    <x:row r="36">
      <x:c r="C36" s="8"/>
      <x:c r="D36" s="8"/>
      <x:c r="E36" s="8"/>
      <x:c r="F36" s="8"/>
      <x:c r="G36" s="8"/>
      <x:c r="H36" s="8"/>
      <x:c r="I36" s="8"/>
      <x:c r="J36" s="8"/>
    </x:row>
    <x:row r="37">
      <x:c r="C37" s="8"/>
      <x:c r="D37" s="8"/>
      <x:c r="E37" s="8"/>
      <x:c r="F37" s="8"/>
      <x:c r="G37" s="8"/>
      <x:c r="H37" s="8"/>
      <x:c r="I37" s="8"/>
      <x:c r="J37" s="8"/>
    </x:row>
    <x:row r="38">
      <x:c r="C38" s="8"/>
      <x:c r="D38" s="8"/>
      <x:c r="E38" s="8"/>
      <x:c r="F38" s="8"/>
      <x:c r="G38" s="8"/>
      <x:c r="H38" s="8"/>
      <x:c r="I38" s="8"/>
      <x:c r="J38" s="8"/>
    </x:row>
    <x:row r="39">
      <x:c r="C39" s="8"/>
      <x:c r="D39" s="8"/>
      <x:c r="E39" s="8"/>
      <x:c r="F39" s="8"/>
      <x:c r="G39" s="8"/>
      <x:c r="H39" s="8"/>
      <x:c r="I39" s="8"/>
      <x:c r="J39" s="8"/>
    </x:row>
    <x:row r="40">
      <x:c r="C40" s="8"/>
      <x:c r="D40" s="8"/>
      <x:c r="E40" s="8"/>
      <x:c r="F40" s="8"/>
      <x:c r="G40" s="8"/>
      <x:c r="H40" s="8"/>
      <x:c r="I40" s="8"/>
      <x:c r="J40" s="8"/>
    </x:row>
    <x:row r="41">
      <x:c r="C41" s="8"/>
      <x:c r="D41" s="8"/>
      <x:c r="E41" s="8"/>
      <x:c r="F41" s="8"/>
      <x:c r="G41" s="8"/>
      <x:c r="H41" s="8"/>
      <x:c r="I41" s="8"/>
      <x:c r="J41" s="8"/>
    </x:row>
    <x:row r="42">
      <x:c r="C42" s="8"/>
      <x:c r="D42" s="8"/>
      <x:c r="E42" s="8"/>
      <x:c r="F42" s="8"/>
      <x:c r="G42" s="8"/>
      <x:c r="H42" s="8"/>
      <x:c r="I42" s="8"/>
      <x:c r="J42" s="8"/>
    </x:row>
    <x:row r="43">
      <x:c r="C43" s="8"/>
      <x:c r="D43" s="8"/>
      <x:c r="E43" s="8"/>
      <x:c r="F43" s="8"/>
      <x:c r="G43" s="8"/>
      <x:c r="H43" s="8"/>
      <x:c r="I43" s="8"/>
      <x:c r="J43" s="8"/>
    </x:row>
    <x:row r="44">
      <x:c r="C44" s="8"/>
      <x:c r="D44" s="8"/>
      <x:c r="E44" s="8"/>
      <x:c r="F44" s="8"/>
      <x:c r="G44" s="8"/>
      <x:c r="H44" s="8"/>
      <x:c r="I44" s="8"/>
      <x:c r="J44" s="8"/>
    </x:row>
    <x:row r="45">
      <x:c r="C45" s="8"/>
      <x:c r="D45" s="8"/>
      <x:c r="E45" s="8"/>
      <x:c r="F45" s="8"/>
      <x:c r="G45" s="8"/>
      <x:c r="H45" s="8"/>
      <x:c r="I45" s="8"/>
      <x:c r="J45" s="8"/>
    </x:row>
    <x:row r="46">
      <x:c r="C46" s="8"/>
      <x:c r="D46" s="8"/>
      <x:c r="E46" s="8"/>
      <x:c r="F46" s="8"/>
      <x:c r="G46" s="8"/>
      <x:c r="H46" s="8"/>
      <x:c r="I46" s="8"/>
      <x:c r="J46" s="8"/>
    </x:row>
    <x:row r="47">
      <x:c r="C47" s="8"/>
      <x:c r="D47" s="8"/>
      <x:c r="E47" s="8"/>
      <x:c r="F47" s="8"/>
      <x:c r="G47" s="8"/>
      <x:c r="H47" s="8"/>
      <x:c r="I47" s="8"/>
      <x:c r="J47" s="8"/>
    </x:row>
    <x:row r="48">
      <x:c r="C48" s="8"/>
      <x:c r="D48" s="8"/>
      <x:c r="E48" s="8"/>
      <x:c r="F48" s="8"/>
      <x:c r="G48" s="8"/>
      <x:c r="H48" s="8"/>
      <x:c r="I48" s="8"/>
      <x:c r="J48" s="8"/>
    </x:row>
    <x:row r="49">
      <x:c r="C49" s="8"/>
      <x:c r="D49" s="8"/>
      <x:c r="E49" s="8"/>
      <x:c r="F49" s="8"/>
      <x:c r="G49" s="8"/>
      <x:c r="H49" s="8"/>
      <x:c r="I49" s="8"/>
      <x:c r="J49" s="8"/>
    </x:row>
    <x:row r="50">
      <x:c r="C50" s="8"/>
      <x:c r="D50" s="8"/>
      <x:c r="E50" s="8"/>
      <x:c r="F50" s="8"/>
      <x:c r="G50" s="8"/>
      <x:c r="H50" s="8"/>
      <x:c r="I50" s="8"/>
      <x:c r="J50" s="8"/>
    </x:row>
    <x:row r="51">
      <x:c r="C51" s="8"/>
      <x:c r="D51" s="8"/>
      <x:c r="E51" s="8"/>
      <x:c r="F51" s="8"/>
      <x:c r="G51" s="8"/>
      <x:c r="H51" s="8"/>
      <x:c r="I51" s="8"/>
      <x:c r="J51" s="8"/>
    </x:row>
    <x:row r="52">
      <x:c r="C52" s="8"/>
      <x:c r="D52" s="8"/>
      <x:c r="E52" s="8"/>
      <x:c r="F52" s="8"/>
      <x:c r="G52" s="8"/>
      <x:c r="H52" s="8"/>
      <x:c r="I52" s="8"/>
      <x:c r="J52" s="8"/>
    </x:row>
    <x:row r="53">
      <x:c r="C53" s="8"/>
      <x:c r="D53" s="8"/>
      <x:c r="E53" s="8"/>
      <x:c r="F53" s="8"/>
      <x:c r="G53" s="8"/>
      <x:c r="H53" s="8"/>
      <x:c r="I53" s="8"/>
      <x:c r="J53" s="8"/>
    </x:row>
    <x:row r="54">
      <x:c r="C54" s="8"/>
      <x:c r="D54" s="8"/>
      <x:c r="E54" s="8"/>
      <x:c r="F54" s="8"/>
      <x:c r="G54" s="8"/>
      <x:c r="H54" s="8"/>
      <x:c r="I54" s="8"/>
      <x:c r="J54" s="8"/>
    </x:row>
    <x:row r="55">
      <x:c r="C55" s="8"/>
      <x:c r="D55" s="8"/>
      <x:c r="E55" s="8"/>
      <x:c r="F55" s="8"/>
      <x:c r="G55" s="8"/>
      <x:c r="H55" s="8"/>
      <x:c r="I55" s="8"/>
      <x:c r="J55" s="8"/>
    </x:row>
    <x:row r="56">
      <x:c r="C56" s="8"/>
      <x:c r="D56" s="8"/>
      <x:c r="E56" s="8"/>
      <x:c r="F56" s="8"/>
      <x:c r="G56" s="8"/>
      <x:c r="H56" s="8"/>
      <x:c r="I56" s="8"/>
      <x:c r="J56" s="8"/>
    </x:row>
    <x:row r="57">
      <x:c r="C57" s="8"/>
      <x:c r="D57" s="8"/>
      <x:c r="E57" s="8"/>
      <x:c r="F57" s="8"/>
      <x:c r="G57" s="8"/>
      <x:c r="H57" s="8"/>
      <x:c r="I57" s="8"/>
      <x:c r="J57" s="8"/>
    </x:row>
    <x:row r="58">
      <x:c r="C58" s="8"/>
      <x:c r="D58" s="8"/>
      <x:c r="E58" s="8"/>
      <x:c r="F58" s="8"/>
      <x:c r="G58" s="8"/>
      <x:c r="H58" s="8"/>
      <x:c r="I58" s="8"/>
      <x:c r="J58" s="8"/>
    </x:row>
    <x:row r="59">
      <x:c r="C59" s="8"/>
      <x:c r="D59" s="8"/>
      <x:c r="E59" s="8"/>
      <x:c r="F59" s="8"/>
      <x:c r="G59" s="8"/>
      <x:c r="H59" s="8"/>
      <x:c r="I59" s="8"/>
      <x:c r="J59" s="8"/>
    </x:row>
    <x:row r="60">
      <x:c r="C60" s="8"/>
      <x:c r="D60" s="8"/>
      <x:c r="E60" s="8"/>
      <x:c r="F60" s="8"/>
      <x:c r="G60" s="8"/>
      <x:c r="H60" s="8"/>
      <x:c r="I60" s="8"/>
      <x:c r="J6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3" hidden="0" customWidth="1"/>
    <x:col min="4" max="4" width="17" hidden="0" customWidth="1"/>
    <x:col min="5" max="5" width="18" hidden="0" customWidth="1"/>
    <x:col min="6" max="6" width="18" hidden="0" customWidth="1"/>
    <x:col min="7" max="7" width="26" hidden="0" customWidth="1"/>
    <x:col min="8" max="8" width="16" hidden="0" customWidth="1"/>
    <x:col min="9" max="9" width="42" hidden="0" customWidth="1"/>
  </x:cols>
  <x:sheetData>
    <x:row r="1">
      <x:c r="C1" s="8"/>
      <x:c r="D1" s="8"/>
      <x:c r="E1" s="8"/>
      <x:c r="F1" s="8"/>
      <x:c r="G1" s="8"/>
      <x:c r="H1" s="8"/>
      <x:c r="I1" s="8"/>
    </x:row>
    <x:row r="2">
      <x:c r="C2" s="9" t="str">
        <x:v>FitClub unit-экономикасы</x:v>
      </x:c>
      <x:c r="D2" s="10"/>
      <x:c r="E2" s="10"/>
      <x:c r="F2" s="10"/>
      <x:c r="G2" s="10"/>
      <x:c r="H2" s="10"/>
      <x:c r="I2" s="10"/>
    </x:row>
    <x:row r="3">
      <x:c r="C3" s="11" t="str">
        <x:v>Экономикалық әсер — түсім емес; ол ЛЗ3-тегі үнем мен сақталған кірістің жиыны.</x:v>
      </x:c>
      <x:c r="D3" s="11"/>
      <x:c r="E3" s="11"/>
      <x:c r="F3" s="11"/>
      <x:c r="G3" s="11"/>
      <x:c r="H3" s="11"/>
      <x:c r="I3" s="11"/>
    </x:row>
    <x:row r="4">
      <x:c r="C4" s="8"/>
      <x:c r="D4" s="8"/>
      <x:c r="E4" s="8"/>
      <x:c r="F4" s="8"/>
      <x:c r="G4" s="8"/>
      <x:c r="H4" s="8"/>
      <x:c r="I4" s="8"/>
    </x:row>
    <x:row r="5">
      <x:c r="C5" s="8"/>
      <x:c r="D5" s="8"/>
      <x:c r="E5" s="8"/>
      <x:c r="F5" s="8"/>
      <x:c r="G5" s="8"/>
      <x:c r="H5" s="8"/>
      <x:c r="I5" s="8"/>
    </x:row>
    <x:row r="6">
      <x:c r="C6" s="16" t="str">
        <x:v>Көрсеткіш</x:v>
      </x:c>
      <x:c r="D6" s="16" t="str">
        <x:v>1-жыл толық</x:v>
      </x:c>
      <x:c r="E6" s="16" t="str">
        <x:v>Тұрақты пайдалану</x:v>
      </x:c>
      <x:c r="F6" s="16" t="str">
        <x:v>Өлшем</x:v>
      </x:c>
      <x:c r="G6" s="16" t="str">
        <x:v>Формула</x:v>
      </x:c>
      <x:c r="H6" s="16" t="str">
        <x:v>Санат</x:v>
      </x:c>
      <x:c r="I6" s="16" t="str">
        <x:v>Түсініктеме</x:v>
      </x:c>
    </x:row>
    <x:row r="7">
      <x:c r="C7" s="18" t="str">
        <x:v>Белсенді клиенттер</x:v>
      </x:c>
      <x:c r="D7" s="18" t="n">
        <x:f>'Бастапқы дерек'!D9</x:f>
        <x:v>300</x:v>
      </x:c>
      <x:c r="E7" s="18" t="n">
        <x:f>'Бастапқы дерек'!D9</x:f>
        <x:v>300</x:v>
      </x:c>
      <x:c r="F7" s="18" t="str">
        <x:v>клиент</x:v>
      </x:c>
      <x:c r="G7" s="18" t="str">
        <x:v>input</x:v>
      </x:c>
      <x:c r="H7" s="18" t="str">
        <x:v>Болжам</x:v>
      </x:c>
      <x:c r="I7" s="18" t="str">
        <x:v>ЛЗ3 масштабы</x:v>
      </x:c>
    </x:row>
    <x:row r="8">
      <x:c r="C8" s="18" t="str">
        <x:v>Айлық шығын</x:v>
      </x:c>
      <x:c r="D8" s="40" t="n">
        <x:f>'12 ай бюджет'!G16/12</x:f>
        <x:v>396046.09895238094</x:v>
      </x:c>
      <x:c r="E8" s="40" t="n">
        <x:f>'12 ай бюджет'!F16/12</x:f>
        <x:v>57997.50371428571</x:v>
      </x:c>
      <x:c r="F8" s="18" t="str">
        <x:v>₸/ай</x:v>
      </x:c>
      <x:c r="G8" s="18" t="str">
        <x:v>жылдық шығын / 12</x:v>
      </x:c>
      <x:c r="H8" s="18" t="str">
        <x:v>Формула</x:v>
      </x:c>
      <x:c r="I8" s="18" t="str"/>
    </x:row>
    <x:row r="9">
      <x:c r="C9" s="18" t="str">
        <x:v>Бір клиентке айлық шығын</x:v>
      </x:c>
      <x:c r="D9" s="40" t="n">
        <x:f>D8/D7</x:f>
        <x:v>1320.153663174603</x:v>
      </x:c>
      <x:c r="E9" s="40" t="n">
        <x:f>E8/E7</x:f>
        <x:v>193.32501238095236</x:v>
      </x:c>
      <x:c r="F9" s="18" t="str">
        <x:v>₸/клиент/ай</x:v>
      </x:c>
      <x:c r="G9" s="18" t="str">
        <x:v>айлық шығын / клиент</x:v>
      </x:c>
      <x:c r="H9" s="18" t="str">
        <x:v>Формула</x:v>
      </x:c>
      <x:c r="I9" s="18" t="str"/>
    </x:row>
    <x:row r="10">
      <x:c r="C10" s="18" t="str">
        <x:v>Айлық экономикалық әсер</x:v>
      </x:c>
      <x:c r="D10" s="40" t="n">
        <x:f>'Бастапқы дерек'!D11/12</x:f>
        <x:v>280800</x:v>
      </x:c>
      <x:c r="E10" s="40" t="n">
        <x:f>'Бастапқы дерек'!D11/12</x:f>
        <x:v>280800</x:v>
      </x:c>
      <x:c r="F10" s="18" t="str">
        <x:v>₸/ай</x:v>
      </x:c>
      <x:c r="G10" s="18" t="str">
        <x:v>жылдық әсер / 12</x:v>
      </x:c>
      <x:c r="H10" s="18" t="str">
        <x:v>Формула</x:v>
      </x:c>
      <x:c r="I10" s="18" t="str">
        <x:v>Түсім емес</x:v>
      </x:c>
    </x:row>
    <x:row r="11">
      <x:c r="C11" s="18" t="str">
        <x:v>Бір клиентке айлық әсер</x:v>
      </x:c>
      <x:c r="D11" s="40" t="n">
        <x:f>D10/D7</x:f>
        <x:v>936</x:v>
      </x:c>
      <x:c r="E11" s="40" t="n">
        <x:f>E10/E7</x:f>
        <x:v>936</x:v>
      </x:c>
      <x:c r="F11" s="18" t="str">
        <x:v>₸/клиент/ай</x:v>
      </x:c>
      <x:c r="G11" s="18" t="str">
        <x:v>айлық әсер / клиент</x:v>
      </x:c>
      <x:c r="H11" s="18" t="str">
        <x:v>Формула</x:v>
      </x:c>
      <x:c r="I11" s="18" t="str"/>
    </x:row>
    <x:row r="12">
      <x:c r="C12" s="18" t="str">
        <x:v>Бір клиентке маржа</x:v>
      </x:c>
      <x:c r="D12" s="40" t="n">
        <x:f>D11-D9</x:f>
        <x:v>-384.153663174603</x:v>
      </x:c>
      <x:c r="E12" s="40" t="n">
        <x:f>E11-E9</x:f>
        <x:v>742.6749876190477</x:v>
      </x:c>
      <x:c r="F12" s="18" t="str">
        <x:v>₸/клиент/ай</x:v>
      </x:c>
      <x:c r="G12" s="18" t="str">
        <x:v>әсер − шығын</x:v>
      </x:c>
      <x:c r="H12" s="18" t="str">
        <x:v>Формула</x:v>
      </x:c>
      <x:c r="I12" s="18" t="str"/>
    </x:row>
    <x:row r="13">
      <x:c r="C13" s="18" t="str">
        <x:v>Unit margin</x:v>
      </x:c>
      <x:c r="D13" s="41" t="n">
        <x:f>D12/D11</x:f>
        <x:v>-0.4104205803147468</x:v>
      </x:c>
      <x:c r="E13" s="41" t="n">
        <x:f>E12/E11</x:f>
        <x:v>0.7934561833536834</x:v>
      </x:c>
      <x:c r="F13" s="18" t="str">
        <x:v>%</x:v>
      </x:c>
      <x:c r="G13" s="18" t="str">
        <x:v>маржа / әсер</x:v>
      </x:c>
      <x:c r="H13" s="18" t="str">
        <x:v>Формула</x:v>
      </x:c>
      <x:c r="I13" s="18" t="str"/>
    </x:row>
    <x:row r="14">
      <x:c r="C14" s="18" t="str">
        <x:v>Залалсыздық клиент саны</x:v>
      </x:c>
      <x:c r="D14" s="42" t="n">
        <x:f>CEILING(D8/D11,1)</x:f>
        <x:v>424</x:v>
      </x:c>
      <x:c r="E14" s="42" t="n">
        <x:f>CEILING(E8/E11,1)</x:f>
        <x:v>62</x:v>
      </x:c>
      <x:c r="F14" s="18" t="str">
        <x:v>клиент</x:v>
      </x:c>
      <x:c r="G14" s="18" t="str">
        <x:v>CEILING(айлық шығын / бірлік әсер)</x:v>
      </x:c>
      <x:c r="H14" s="18" t="str">
        <x:v>Формула</x:v>
      </x:c>
      <x:c r="I14" s="18" t="str">
        <x:v>Бүтін санға жоғары дөңгелектеледі</x:v>
      </x:c>
    </x:row>
    <x:row r="15">
      <x:c r="C15" s="18" t="str">
        <x:v>300 клиентте залалсыз ба?</x:v>
      </x:c>
      <x:c r="D15" s="18" t="str">
        <x:f>IF(D7&gt;=D14,"Иә","Жоқ")</x:f>
        <x:v>Жоқ</x:v>
      </x:c>
      <x:c r="E15" s="18" t="str">
        <x:f>IF(E7&gt;=E14,"Иә","Жоқ")</x:f>
        <x:v>Иә</x:v>
      </x:c>
      <x:c r="F15" s="18" t="str">
        <x:v>мәтін</x:v>
      </x:c>
      <x:c r="G15" s="18" t="str">
        <x:v>client ≥ break-even</x:v>
      </x:c>
      <x:c r="H15" s="18" t="str">
        <x:v>Формула</x:v>
      </x:c>
      <x:c r="I15" s="18" t="str"/>
    </x:row>
    <x:row r="16">
      <x:c r="C16" s="8"/>
      <x:c r="D16" s="8"/>
      <x:c r="E16" s="8"/>
      <x:c r="F16" s="8"/>
      <x:c r="G16" s="8"/>
      <x:c r="H16" s="8"/>
      <x:c r="I16" s="8"/>
    </x:row>
    <x:row r="17">
      <x:c r="C17" s="8"/>
      <x:c r="D17" s="8"/>
      <x:c r="E17" s="8"/>
      <x:c r="F17" s="8"/>
      <x:c r="G17" s="8"/>
      <x:c r="H17" s="8"/>
      <x:c r="I17" s="8"/>
    </x:row>
    <x:row r="18">
      <x:c r="C18" s="45" t="str">
        <x:v>Түсіндіру</x:v>
      </x:c>
      <x:c r="D18" s="46" t="str"/>
      <x:c r="E18" s="46" t="str"/>
      <x:c r="F18" s="46" t="str"/>
      <x:c r="G18" s="46" t="str"/>
      <x:c r="H18" s="46" t="str"/>
      <x:c r="I18" s="47" t="str"/>
    </x:row>
    <x:row r="19">
      <x:c r="C19" s="49" t="str">
        <x:v>1-жыл толық көрініс әзірлеу мен енгізуді түгел 12 айға жүктейді; сондықтан залалсыздық шегі жоғары. Тұрақты пайдалану көрінісі бір реттік жұмыстарды алып тастайды. Екі нәтиже де болжам: нақты клиент саны, нақты операция уақыты және сақталған кіріс өлшенгенде модель қайта есептеледі.</x:v>
      </x:c>
      <x:c r="D19" s="49"/>
      <x:c r="E19" s="49"/>
      <x:c r="F19" s="49"/>
      <x:c r="G19" s="49"/>
      <x:c r="H19" s="49"/>
      <x:c r="I19" s="49"/>
    </x:row>
    <x:row r="20">
      <x:c r="C20" s="49"/>
      <x:c r="D20" s="49"/>
      <x:c r="E20" s="49"/>
      <x:c r="F20" s="49"/>
      <x:c r="G20" s="49"/>
      <x:c r="H20" s="49"/>
      <x:c r="I20" s="49"/>
    </x:row>
    <x:row r="21">
      <x:c r="C21" s="49"/>
      <x:c r="D21" s="49"/>
      <x:c r="E21" s="49"/>
      <x:c r="F21" s="49"/>
      <x:c r="G21" s="49"/>
      <x:c r="H21" s="49"/>
      <x:c r="I21" s="49"/>
    </x:row>
    <x:row r="22">
      <x:c r="C22" s="49"/>
      <x:c r="D22" s="49"/>
      <x:c r="E22" s="49"/>
      <x:c r="F22" s="49"/>
      <x:c r="G22" s="49"/>
      <x:c r="H22" s="49"/>
      <x:c r="I22" s="49"/>
    </x:row>
    <x:row r="23">
      <x:c r="C23" s="49"/>
      <x:c r="D23" s="49"/>
      <x:c r="E23" s="49"/>
      <x:c r="F23" s="49"/>
      <x:c r="G23" s="49"/>
      <x:c r="H23" s="49"/>
      <x:c r="I23" s="49"/>
    </x:row>
    <x:row r="24">
      <x:c r="C24" s="8"/>
      <x:c r="D24" s="8"/>
      <x:c r="E24" s="8"/>
      <x:c r="F24" s="8"/>
      <x:c r="G24" s="8"/>
      <x:c r="H24" s="8"/>
      <x:c r="I24" s="8"/>
    </x:row>
    <x:row r="25">
      <x:c r="C25" s="8"/>
      <x:c r="D25" s="8"/>
      <x:c r="E25" s="8"/>
      <x:c r="F25" s="8"/>
      <x:c r="G25" s="8"/>
      <x:c r="H25" s="8"/>
      <x:c r="I25" s="8"/>
    </x:row>
    <x:row r="26">
      <x:c r="C26" s="8"/>
      <x:c r="D26" s="8"/>
      <x:c r="E26" s="8"/>
      <x:c r="F26" s="8"/>
      <x:c r="G26" s="8"/>
      <x:c r="H26" s="8"/>
      <x:c r="I26" s="8"/>
    </x:row>
    <x:row r="27">
      <x:c r="C27" s="8"/>
      <x:c r="D27" s="8"/>
      <x:c r="E27" s="8"/>
      <x:c r="F27" s="8"/>
      <x:c r="G27" s="8"/>
      <x:c r="H27" s="8"/>
      <x:c r="I27" s="8"/>
    </x:row>
    <x:row r="28">
      <x:c r="C28" s="8"/>
      <x:c r="D28" s="8"/>
      <x:c r="E28" s="8"/>
      <x:c r="F28" s="8"/>
      <x:c r="G28" s="8"/>
      <x:c r="H28" s="8"/>
      <x:c r="I28" s="8"/>
    </x:row>
    <x:row r="29">
      <x:c r="C29" s="8"/>
      <x:c r="D29" s="8"/>
      <x:c r="E29" s="8"/>
      <x:c r="F29" s="8"/>
      <x:c r="G29" s="8"/>
      <x:c r="H29" s="8"/>
      <x:c r="I29" s="8"/>
    </x:row>
    <x:row r="30">
      <x:c r="C30" s="8"/>
      <x:c r="D30" s="8"/>
      <x:c r="E30" s="8"/>
      <x:c r="F30" s="8"/>
      <x:c r="G30" s="8"/>
      <x:c r="H30" s="8"/>
      <x:c r="I30" s="8"/>
    </x:row>
    <x:row r="31">
      <x:c r="C31" s="8"/>
      <x:c r="D31" s="8"/>
      <x:c r="E31" s="8"/>
      <x:c r="F31" s="8"/>
      <x:c r="G31" s="8"/>
      <x:c r="H31" s="8"/>
      <x:c r="I31" s="8"/>
    </x:row>
    <x:row r="32">
      <x:c r="C32" s="8"/>
      <x:c r="D32" s="8"/>
      <x:c r="E32" s="8"/>
      <x:c r="F32" s="8"/>
      <x:c r="G32" s="8"/>
      <x:c r="H32" s="8"/>
      <x:c r="I32" s="8"/>
    </x:row>
    <x:row r="33">
      <x:c r="C33" s="8"/>
      <x:c r="D33" s="8"/>
      <x:c r="E33" s="8"/>
      <x:c r="F33" s="8"/>
      <x:c r="G33" s="8"/>
      <x:c r="H33" s="8"/>
      <x:c r="I33" s="8"/>
    </x:row>
    <x:row r="34">
      <x:c r="C34" s="8"/>
      <x:c r="D34" s="8"/>
      <x:c r="E34" s="8"/>
      <x:c r="F34" s="8"/>
      <x:c r="G34" s="8"/>
      <x:c r="H34" s="8"/>
      <x:c r="I34" s="8"/>
    </x:row>
    <x:row r="35">
      <x:c r="C35" s="8"/>
      <x:c r="D35" s="8"/>
      <x:c r="E35" s="8"/>
      <x:c r="F35" s="8"/>
      <x:c r="G35" s="8"/>
      <x:c r="H35" s="8"/>
      <x:c r="I35" s="8"/>
    </x:row>
    <x:row r="36">
      <x:c r="C36" s="8"/>
      <x:c r="D36" s="8"/>
      <x:c r="E36" s="8"/>
      <x:c r="F36" s="8"/>
      <x:c r="G36" s="8"/>
      <x:c r="H36" s="8"/>
      <x:c r="I36" s="8"/>
    </x:row>
    <x:row r="37">
      <x:c r="C37" s="8"/>
      <x:c r="D37" s="8"/>
      <x:c r="E37" s="8"/>
      <x:c r="F37" s="8"/>
      <x:c r="G37" s="8"/>
      <x:c r="H37" s="8"/>
      <x:c r="I37" s="8"/>
    </x:row>
    <x:row r="38">
      <x:c r="C38" s="8"/>
      <x:c r="D38" s="8"/>
      <x:c r="E38" s="8"/>
      <x:c r="F38" s="8"/>
      <x:c r="G38" s="8"/>
      <x:c r="H38" s="8"/>
      <x:c r="I38" s="8"/>
    </x:row>
    <x:row r="39">
      <x:c r="C39" s="8"/>
      <x:c r="D39" s="8"/>
      <x:c r="E39" s="8"/>
      <x:c r="F39" s="8"/>
      <x:c r="G39" s="8"/>
      <x:c r="H39" s="8"/>
      <x:c r="I39" s="8"/>
    </x:row>
    <x:row r="40">
      <x:c r="C40" s="8"/>
      <x:c r="D40" s="8"/>
      <x:c r="E40" s="8"/>
      <x:c r="F40" s="8"/>
      <x:c r="G40" s="8"/>
      <x:c r="H40" s="8"/>
      <x:c r="I40" s="8"/>
    </x:row>
    <x:row r="41">
      <x:c r="C41" s="8"/>
      <x:c r="D41" s="8"/>
      <x:c r="E41" s="8"/>
      <x:c r="F41" s="8"/>
      <x:c r="G41" s="8"/>
      <x:c r="H41" s="8"/>
      <x:c r="I41" s="8"/>
    </x:row>
    <x:row r="42">
      <x:c r="C42" s="8"/>
      <x:c r="D42" s="8"/>
      <x:c r="E42" s="8"/>
      <x:c r="F42" s="8"/>
      <x:c r="G42" s="8"/>
      <x:c r="H42" s="8"/>
      <x:c r="I42" s="8"/>
    </x:row>
    <x:row r="43">
      <x:c r="C43" s="8"/>
      <x:c r="D43" s="8"/>
      <x:c r="E43" s="8"/>
      <x:c r="F43" s="8"/>
      <x:c r="G43" s="8"/>
      <x:c r="H43" s="8"/>
      <x:c r="I43" s="8"/>
    </x:row>
    <x:row r="44">
      <x:c r="C44" s="8"/>
      <x:c r="D44" s="8"/>
      <x:c r="E44" s="8"/>
      <x:c r="F44" s="8"/>
      <x:c r="G44" s="8"/>
      <x:c r="H44" s="8"/>
      <x:c r="I44" s="8"/>
    </x:row>
    <x:row r="45">
      <x:c r="C45" s="8"/>
      <x:c r="D45" s="8"/>
      <x:c r="E45" s="8"/>
      <x:c r="F45" s="8"/>
      <x:c r="G45" s="8"/>
      <x:c r="H45" s="8"/>
      <x:c r="I45" s="8"/>
    </x:row>
    <x:row r="46">
      <x:c r="C46" s="8"/>
      <x:c r="D46" s="8"/>
      <x:c r="E46" s="8"/>
      <x:c r="F46" s="8"/>
      <x:c r="G46" s="8"/>
      <x:c r="H46" s="8"/>
      <x:c r="I46" s="8"/>
    </x:row>
    <x:row r="47">
      <x:c r="C47" s="8"/>
      <x:c r="D47" s="8"/>
      <x:c r="E47" s="8"/>
      <x:c r="F47" s="8"/>
      <x:c r="G47" s="8"/>
      <x:c r="H47" s="8"/>
      <x:c r="I47" s="8"/>
    </x:row>
    <x:row r="48">
      <x:c r="C48" s="8"/>
      <x:c r="D48" s="8"/>
      <x:c r="E48" s="8"/>
      <x:c r="F48" s="8"/>
      <x:c r="G48" s="8"/>
      <x:c r="H48" s="8"/>
      <x:c r="I48" s="8"/>
    </x:row>
    <x:row r="49">
      <x:c r="C49" s="8"/>
      <x:c r="D49" s="8"/>
      <x:c r="E49" s="8"/>
      <x:c r="F49" s="8"/>
      <x:c r="G49" s="8"/>
      <x:c r="H49" s="8"/>
      <x:c r="I49" s="8"/>
    </x:row>
    <x:row r="50">
      <x:c r="C50" s="8"/>
      <x:c r="D50" s="8"/>
      <x:c r="E50" s="8"/>
      <x:c r="F50" s="8"/>
      <x:c r="G50" s="8"/>
      <x:c r="H50" s="8"/>
      <x:c r="I50" s="8"/>
    </x:row>
    <x:row r="51">
      <x:c r="C51" s="8"/>
      <x:c r="D51" s="8"/>
      <x:c r="E51" s="8"/>
      <x:c r="F51" s="8"/>
      <x:c r="G51" s="8"/>
      <x:c r="H51" s="8"/>
      <x:c r="I51" s="8"/>
    </x:row>
    <x:row r="52">
      <x:c r="C52" s="8"/>
      <x:c r="D52" s="8"/>
      <x:c r="E52" s="8"/>
      <x:c r="F52" s="8"/>
      <x:c r="G52" s="8"/>
      <x:c r="H52" s="8"/>
      <x:c r="I52" s="8"/>
    </x:row>
    <x:row r="53">
      <x:c r="C53" s="8"/>
      <x:c r="D53" s="8"/>
      <x:c r="E53" s="8"/>
      <x:c r="F53" s="8"/>
      <x:c r="G53" s="8"/>
      <x:c r="H53" s="8"/>
      <x:c r="I53" s="8"/>
    </x:row>
    <x:row r="54">
      <x:c r="C54" s="8"/>
      <x:c r="D54" s="8"/>
      <x:c r="E54" s="8"/>
      <x:c r="F54" s="8"/>
      <x:c r="G54" s="8"/>
      <x:c r="H54" s="8"/>
      <x:c r="I54" s="8"/>
    </x:row>
    <x:row r="55">
      <x:c r="C55" s="8"/>
      <x:c r="D55" s="8"/>
      <x:c r="E55" s="8"/>
      <x:c r="F55" s="8"/>
      <x:c r="G55" s="8"/>
      <x:c r="H55" s="8"/>
      <x:c r="I55" s="8"/>
    </x:row>
    <x:row r="56">
      <x:c r="C56" s="8"/>
      <x:c r="D56" s="8"/>
      <x:c r="E56" s="8"/>
      <x:c r="F56" s="8"/>
      <x:c r="G56" s="8"/>
      <x:c r="H56" s="8"/>
      <x:c r="I56" s="8"/>
    </x:row>
    <x:row r="57">
      <x:c r="C57" s="8"/>
      <x:c r="D57" s="8"/>
      <x:c r="E57" s="8"/>
      <x:c r="F57" s="8"/>
      <x:c r="G57" s="8"/>
      <x:c r="H57" s="8"/>
      <x:c r="I57" s="8"/>
    </x:row>
    <x:row r="58">
      <x:c r="C58" s="8"/>
      <x:c r="D58" s="8"/>
      <x:c r="E58" s="8"/>
      <x:c r="F58" s="8"/>
      <x:c r="G58" s="8"/>
      <x:c r="H58" s="8"/>
      <x:c r="I58" s="8"/>
    </x:row>
    <x:row r="59">
      <x:c r="C59" s="8"/>
      <x:c r="D59" s="8"/>
      <x:c r="E59" s="8"/>
      <x:c r="F59" s="8"/>
      <x:c r="G59" s="8"/>
      <x:c r="H59" s="8"/>
      <x:c r="I59" s="8"/>
    </x:row>
    <x:row r="60">
      <x:c r="C60" s="8"/>
      <x:c r="D60" s="8"/>
      <x:c r="E60" s="8"/>
      <x:c r="F60" s="8"/>
      <x:c r="G60" s="8"/>
      <x:c r="H60" s="8"/>
      <x:c r="I60" s="8"/>
    </x:row>
  </x:sheetData>
  <x:mergeCells>
    <x:mergeCell ref="C19:I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37" hidden="0" customWidth="1"/>
    <x:col min="5" max="5" width="12" hidden="0" customWidth="1"/>
    <x:col min="6" max="6" width="14" hidden="0" customWidth="1"/>
    <x:col min="7" max="7" width="16" hidden="0" customWidth="1"/>
    <x:col min="8" max="8" width="17" hidden="0" customWidth="1"/>
    <x:col min="9" max="9" width="34" hidden="0" customWidth="1"/>
    <x:col min="10" max="10" width="45" hidden="0" customWidth="1"/>
    <x:col min="11" max="11" width="14" hidden="0" customWidth="1"/>
  </x:cols>
  <x:sheetData>
    <x:row r="1">
      <x:c r="C1" s="8"/>
      <x:c r="D1" s="8"/>
      <x:c r="E1" s="8"/>
      <x:c r="F1" s="8"/>
      <x:c r="G1" s="8"/>
      <x:c r="H1" s="8"/>
      <x:c r="I1" s="8"/>
      <x:c r="J1" s="8"/>
      <x:c r="K1" s="8"/>
    </x:row>
    <x:row r="2">
      <x:c r="C2" s="9" t="str">
        <x:v>FitClub хостинг нұсқалары — 3 жыл</x:v>
      </x:c>
      <x:c r="D2" s="10"/>
      <x:c r="E2" s="10"/>
      <x:c r="F2" s="10"/>
      <x:c r="G2" s="10"/>
      <x:c r="H2" s="10"/>
      <x:c r="I2" s="10"/>
      <x:c r="J2" s="10"/>
      <x:c r="K2" s="10"/>
    </x:row>
    <x:row r="3">
      <x:c r="C3" s="11" t="str">
        <x:v>Тек инфрақұрылым құны салыстырылады. Әзірлеу және қолданбаны қолдау барлық нұсқаға ортақ болғандықтан кірмейді.</x:v>
      </x:c>
      <x:c r="D3" s="11"/>
      <x:c r="E3" s="11"/>
      <x:c r="F3" s="11"/>
      <x:c r="G3" s="11"/>
      <x:c r="H3" s="11"/>
      <x:c r="I3" s="11"/>
      <x:c r="J3" s="11"/>
      <x:c r="K3" s="11"/>
    </x:row>
    <x:row r="4">
      <x:c r="C4" s="8"/>
      <x:c r="D4" s="8"/>
      <x:c r="E4" s="8"/>
      <x:c r="F4" s="8"/>
      <x:c r="G4" s="8"/>
      <x:c r="H4" s="8"/>
      <x:c r="I4" s="8"/>
      <x:c r="J4" s="8"/>
      <x:c r="K4" s="8"/>
    </x:row>
    <x:row r="5"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C6" s="16" t="str">
        <x:v>Нұсқа</x:v>
      </x:c>
      <x:c r="D6" s="16" t="str">
        <x:v>Компонент</x:v>
      </x:c>
      <x:c r="E6" s="16" t="str">
        <x:v>Валюта</x:v>
      </x:c>
      <x:c r="F6" s="16" t="str">
        <x:v>Айлық баға</x:v>
      </x:c>
      <x:c r="G6" s="16" t="str">
        <x:v>Бір реттік баға</x:v>
      </x:c>
      <x:c r="H6" s="16" t="str">
        <x:v>36 ай, ₸</x:v>
      </x:c>
      <x:c r="I6" s="16" t="str">
        <x:v>Қамтылғаны</x:v>
      </x:c>
      <x:c r="J6" s="16" t="str">
        <x:v>Қамтылмағаны</x:v>
      </x:c>
      <x:c r="K6" s="16" t="str">
        <x:v>Дерек</x:v>
      </x:c>
    </x:row>
    <x:row r="7">
      <x:c r="C7" s="18" t="str">
        <x:v>1. Public cloud</x:v>
      </x:c>
      <x:c r="D7" s="18" t="str">
        <x:v>AWS Lightsail VM + managed PostgreSQL</x:v>
      </x:c>
      <x:c r="E7" s="18" t="str">
        <x:v>USD</x:v>
      </x:c>
      <x:c r="F7" s="40" t="n">
        <x:v>54</x:v>
      </x:c>
      <x:c r="G7" s="40" t="n">
        <x:v>0</x:v>
      </x:c>
      <x:c r="H7" s="39" t="n">
        <x:f>(F7*36+G7)*'Бастапқы дерек'!D7</x:f>
        <x:v>872097.8400000001</x:v>
      </x:c>
      <x:c r="I7" s="18" t="str">
        <x:v>2 vCPU/4 GB VM; 2 GB managed DB</x:v>
      </x:c>
      <x:c r="J7" s="18" t="str">
        <x:v>салық, трафик артықтығы, қосымша snapshot</x:v>
      </x:c>
      <x:c r="K7" s="18" t="str">
        <x:v>S1/S5</x:v>
      </x:c>
    </x:row>
    <x:row r="8">
      <x:c r="C8" s="18" t="str">
        <x:v>2. Өз инфрақұрылымы</x:v>
      </x:c>
      <x:c r="D8" s="18" t="str">
        <x:v>Raspberry Pi 5 Starter Kit 8 GB</x:v>
      </x:c>
      <x:c r="E8" s="18" t="str">
        <x:v>GBP</x:v>
      </x:c>
      <x:c r="F8" s="40" t="n">
        <x:v>0</x:v>
      </x:c>
      <x:c r="G8" s="40" t="n">
        <x:v>224.5</x:v>
      </x:c>
      <x:c r="H8" s="39" t="n">
        <x:f>(F8*36+G8)*'Бастапқы дерек'!D8</x:f>
        <x:v>134884.09000000003</x:v>
      </x:c>
      <x:c r="I8" s="18" t="str">
        <x:v>жинақтың жарияланған бағасы</x:v>
      </x:c>
      <x:c r="J8" s="18" t="str">
        <x:v>жеткізу, кеден, UPS, электр, ISP/static IP, ауыстыру</x:v>
      </x:c>
      <x:c r="K8" s="18" t="str">
        <x:v>S1/S6</x:v>
      </x:c>
    </x:row>
    <x:row r="9">
      <x:c r="C9" s="18" t="str">
        <x:v>3. Жалдамалы сервердегі ашық стек</x:v>
      </x:c>
      <x:c r="D9" s="18" t="str">
        <x:v>DigitalOcean Droplet + weekly backup</x:v>
      </x:c>
      <x:c r="E9" s="18" t="str">
        <x:v>USD</x:v>
      </x:c>
      <x:c r="F9" s="40" t="n">
        <x:v>28.8</x:v>
      </x:c>
      <x:c r="G9" s="40" t="n">
        <x:v>0</x:v>
      </x:c>
      <x:c r="H9" s="39" t="n">
        <x:f>(F9*36+G9)*'Бастапқы дерек'!D7</x:f>
        <x:v>465118.848</x:v>
      </x:c>
      <x:c r="I9" s="18" t="str">
        <x:v>2 vCPU/4 GiB/80 GiB + weekly backup</x:v>
      </x:c>
      <x:c r="J9" s="18" t="str">
        <x:v>салық, артық трафик, DB әкімшілігі</x:v>
      </x:c>
      <x:c r="K9" s="18" t="str">
        <x:v>S1/S3/S4</x:v>
      </x:c>
    </x:row>
    <x:row r="10"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C12" s="16" t="str">
        <x:v>Критерий</x:v>
      </x:c>
      <x:c r="D12" s="16" t="str">
        <x:v>Public cloud</x:v>
      </x:c>
      <x:c r="E12" s="16" t="str">
        <x:v>Өз инфрақұрылымы</x:v>
      </x:c>
      <x:c r="F12" s="16" t="str">
        <x:v>Ашық стек / VPS</x:v>
      </x:c>
      <x:c r="G12" s="16" t="str">
        <x:v>Негіздеме</x:v>
      </x:c>
      <x:c r="H12" s="16" t="str"/>
      <x:c r="I12" s="16" t="str"/>
      <x:c r="J12" s="16" t="str"/>
      <x:c r="K12" s="8"/>
    </x:row>
    <x:row r="13">
      <x:c r="C13" s="18" t="str">
        <x:v>3 жылдық жарияланған құн</x:v>
      </x:c>
      <x:c r="D13" s="18" t="str">
        <x:v>ең жоғары</x:v>
      </x:c>
      <x:c r="E13" s="18" t="str">
        <x:v>ең төменгі шек</x:v>
      </x:c>
      <x:c r="F13" s="18" t="str">
        <x:v>орташа</x:v>
      </x:c>
      <x:c r="G13" s="18" t="str">
        <x:v>Баға кестесінен</x:v>
      </x:c>
      <x:c r="H13" s="8"/>
      <x:c r="I13" s="8"/>
      <x:c r="J13" s="8"/>
      <x:c r="K13" s="8"/>
    </x:row>
    <x:row r="14">
      <x:c r="C14" s="18" t="str">
        <x:v>DB операциялық жүктемесі</x:v>
      </x:c>
      <x:c r="D14" s="18" t="str">
        <x:v>төменірек</x:v>
      </x:c>
      <x:c r="E14" s="18" t="str">
        <x:v>жоғары</x:v>
      </x:c>
      <x:c r="F14" s="18" t="str">
        <x:v>жоғары</x:v>
      </x:c>
      <x:c r="G14" s="18" t="str">
        <x:v>AWS-та DB басқарылатын</x:v>
      </x:c>
      <x:c r="H14" s="8"/>
      <x:c r="I14" s="8"/>
      <x:c r="J14" s="8"/>
      <x:c r="K14" s="8"/>
    </x:row>
    <x:row r="15">
      <x:c r="C15" s="18" t="str">
        <x:v>Интернет/электр тәуекелі</x:v>
      </x:c>
      <x:c r="D15" s="18" t="str">
        <x:v>провайдерде</x:v>
      </x:c>
      <x:c r="E15" s="18" t="str">
        <x:v>командада</x:v>
      </x:c>
      <x:c r="F15" s="18" t="str">
        <x:v>провайдерде</x:v>
      </x:c>
      <x:c r="G15" s="18" t="str">
        <x:v>Өз серверінде жергілікті инфрақұрылым керек</x:v>
      </x:c>
      <x:c r="H15" s="8"/>
      <x:c r="I15" s="8"/>
      <x:c r="J15" s="8"/>
      <x:c r="K15" s="8"/>
    </x:row>
    <x:row r="16">
      <x:c r="C16" s="18" t="str">
        <x:v>ЛЗ3 шешіміне сәйкестік</x:v>
      </x:c>
      <x:c r="D16" s="18" t="str">
        <x:v>ішінара</x:v>
      </x:c>
      <x:c r="E16" s="18" t="str">
        <x:v>ішінара</x:v>
      </x:c>
      <x:c r="F16" s="18" t="str">
        <x:v>толық</x:v>
      </x:c>
      <x:c r="G16" s="18" t="str">
        <x:v>Ubuntu + PostgreSQL ашық стек</x:v>
      </x:c>
      <x:c r="H16" s="8"/>
      <x:c r="I16" s="8"/>
      <x:c r="J16" s="8"/>
      <x:c r="K16" s="8"/>
    </x:row>
    <x:row r="17">
      <x:c r="C17" s="18" t="str">
        <x:v>Ұсыныс</x:v>
      </x:c>
      <x:c r="D17" s="38" t="str">
        <x:v>резерв нұсқа</x:v>
      </x:c>
      <x:c r="E17" s="38" t="str">
        <x:v>толық баға жоқ</x:v>
      </x:c>
      <x:c r="F17" s="38" t="str">
        <x:v>MVP үшін негізгі</x:v>
      </x:c>
      <x:c r="G17" s="18" t="str">
        <x:v>Жарияланған толық recurring құн және код бақылауы</x:v>
      </x:c>
      <x:c r="H17" s="8"/>
      <x:c r="I17" s="8"/>
      <x:c r="J17" s="8"/>
      <x:c r="K17" s="8"/>
    </x:row>
    <x:row r="18">
      <x:c r="C18" s="8"/>
      <x:c r="D18" s="8"/>
      <x:c r="E18" s="8"/>
      <x:c r="F18" s="8"/>
      <x:c r="G18" s="8"/>
      <x:c r="H18" s="8"/>
      <x:c r="I18" s="8"/>
      <x:c r="J18" s="8"/>
      <x:c r="K18" s="8"/>
    </x:row>
    <x:row r="19"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C20" s="45" t="str">
        <x:v>Маңызды шектеу</x:v>
      </x:c>
      <x:c r="D20" s="46" t="str"/>
      <x:c r="E20" s="46" t="str"/>
      <x:c r="F20" s="46" t="str"/>
      <x:c r="G20" s="46" t="str"/>
      <x:c r="H20" s="46" t="str"/>
      <x:c r="I20" s="46" t="str"/>
      <x:c r="J20" s="46" t="str"/>
      <x:c r="K20" s="47" t="str"/>
    </x:row>
    <x:row r="21">
      <x:c r="C21" s="50" t="str">
        <x:v>Өз инфрақұрылымының 134 884 ₸ мәні — толық TCO емес, тек жарияланған starter kit бағасының теңгедегі төменгі шегі. Электр, интернет/static IP, UPS, жеткізу, кеден және істен шығуды ауыстыру үшін тексерілген коммерциялық баға жоқ; сондықтан бұл нұсқаны «ең арзан толық шешім» деп жариялауға болмайды.</x:v>
      </x:c>
      <x:c r="D21" s="50"/>
      <x:c r="E21" s="50"/>
      <x:c r="F21" s="50"/>
      <x:c r="G21" s="50"/>
      <x:c r="H21" s="50"/>
      <x:c r="I21" s="50"/>
      <x:c r="J21" s="50"/>
      <x:c r="K21" s="50"/>
    </x:row>
    <x:row r="22">
      <x:c r="C22" s="50"/>
      <x:c r="D22" s="50"/>
      <x:c r="E22" s="50"/>
      <x:c r="F22" s="50"/>
      <x:c r="G22" s="50"/>
      <x:c r="H22" s="50"/>
      <x:c r="I22" s="50"/>
      <x:c r="J22" s="50"/>
      <x:c r="K22" s="50"/>
    </x:row>
    <x:row r="23">
      <x:c r="C23" s="50"/>
      <x:c r="D23" s="50"/>
      <x:c r="E23" s="50"/>
      <x:c r="F23" s="50"/>
      <x:c r="G23" s="50"/>
      <x:c r="H23" s="50"/>
      <x:c r="I23" s="50"/>
      <x:c r="J23" s="50"/>
      <x:c r="K23" s="50"/>
    </x:row>
    <x:row r="24">
      <x:c r="C24" s="50"/>
      <x:c r="D24" s="50"/>
      <x:c r="E24" s="50"/>
      <x:c r="F24" s="50"/>
      <x:c r="G24" s="50"/>
      <x:c r="H24" s="50"/>
      <x:c r="I24" s="50"/>
      <x:c r="J24" s="50"/>
      <x:c r="K24" s="50"/>
    </x:row>
    <x:row r="25"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C26" s="8"/>
      <x:c r="D26" s="8"/>
      <x:c r="E26" s="8"/>
      <x:c r="F26" s="8"/>
      <x:c r="G26" s="8"/>
      <x:c r="H26" s="8"/>
      <x:c r="I26" s="8"/>
      <x:c r="J26" s="8"/>
      <x:c r="K26" s="8"/>
    </x:row>
    <x:row r="27"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C33" s="8"/>
      <x:c r="D33" s="8"/>
      <x:c r="E33" s="8"/>
      <x:c r="F33" s="8"/>
      <x:c r="G33" s="8"/>
      <x:c r="H33" s="8"/>
      <x:c r="I33" s="8"/>
      <x:c r="J33" s="8"/>
      <x:c r="K33" s="8"/>
    </x:row>
    <x:row r="34">
      <x:c r="C34" s="8"/>
      <x:c r="D34" s="8"/>
      <x:c r="E34" s="8"/>
      <x:c r="F34" s="8"/>
      <x:c r="G34" s="8"/>
      <x:c r="H34" s="8"/>
      <x:c r="I34" s="8"/>
      <x:c r="J34" s="8"/>
      <x:c r="K34" s="8"/>
    </x:row>
    <x:row r="35">
      <x:c r="C35" s="8"/>
      <x:c r="D35" s="8"/>
      <x:c r="E35" s="8"/>
      <x:c r="F35" s="8"/>
      <x:c r="G35" s="8"/>
      <x:c r="H35" s="8"/>
      <x:c r="I35" s="8"/>
      <x:c r="J35" s="8"/>
      <x:c r="K35" s="8"/>
    </x:row>
    <x:row r="36">
      <x:c r="C36" s="8"/>
      <x:c r="D36" s="8"/>
      <x:c r="E36" s="8"/>
      <x:c r="F36" s="8"/>
      <x:c r="G36" s="8"/>
      <x:c r="H36" s="8"/>
      <x:c r="I36" s="8"/>
      <x:c r="J36" s="8"/>
      <x:c r="K36" s="8"/>
    </x:row>
    <x:row r="37">
      <x:c r="C37" s="8"/>
      <x:c r="D37" s="8"/>
      <x:c r="E37" s="8"/>
      <x:c r="F37" s="8"/>
      <x:c r="G37" s="8"/>
      <x:c r="H37" s="8"/>
      <x:c r="I37" s="8"/>
      <x:c r="J37" s="8"/>
      <x:c r="K37" s="8"/>
    </x:row>
    <x:row r="38">
      <x:c r="C38" s="8"/>
      <x:c r="D38" s="8"/>
      <x:c r="E38" s="8"/>
      <x:c r="F38" s="8"/>
      <x:c r="G38" s="8"/>
      <x:c r="H38" s="8"/>
      <x:c r="I38" s="8"/>
      <x:c r="J38" s="8"/>
      <x:c r="K38" s="8"/>
    </x:row>
    <x:row r="39">
      <x:c r="C39" s="8"/>
      <x:c r="D39" s="8"/>
      <x:c r="E39" s="8"/>
      <x:c r="F39" s="8"/>
      <x:c r="G39" s="8"/>
      <x:c r="H39" s="8"/>
      <x:c r="I39" s="8"/>
      <x:c r="J39" s="8"/>
      <x:c r="K39" s="8"/>
    </x:row>
    <x:row r="40">
      <x:c r="C40" s="8"/>
      <x:c r="D40" s="8"/>
      <x:c r="E40" s="8"/>
      <x:c r="F40" s="8"/>
      <x:c r="G40" s="8"/>
      <x:c r="H40" s="8"/>
      <x:c r="I40" s="8"/>
      <x:c r="J40" s="8"/>
      <x:c r="K40" s="8"/>
    </x:row>
    <x:row r="41">
      <x:c r="C41" s="8"/>
      <x:c r="D41" s="8"/>
      <x:c r="E41" s="8"/>
      <x:c r="F41" s="8"/>
      <x:c r="G41" s="8"/>
      <x:c r="H41" s="8"/>
      <x:c r="I41" s="8"/>
      <x:c r="J41" s="8"/>
      <x:c r="K41" s="8"/>
    </x:row>
    <x:row r="42">
      <x:c r="C42" s="8"/>
      <x:c r="D42" s="8"/>
      <x:c r="E42" s="8"/>
      <x:c r="F42" s="8"/>
      <x:c r="G42" s="8"/>
      <x:c r="H42" s="8"/>
      <x:c r="I42" s="8"/>
      <x:c r="J42" s="8"/>
      <x:c r="K42" s="8"/>
    </x:row>
    <x:row r="43">
      <x:c r="C43" s="8"/>
      <x:c r="D43" s="8"/>
      <x:c r="E43" s="8"/>
      <x:c r="F43" s="8"/>
      <x:c r="G43" s="8"/>
      <x:c r="H43" s="8"/>
      <x:c r="I43" s="8"/>
      <x:c r="J43" s="8"/>
      <x:c r="K43" s="8"/>
    </x:row>
    <x:row r="44"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C45" s="8"/>
      <x:c r="D45" s="8"/>
      <x:c r="E45" s="8"/>
      <x:c r="F45" s="8"/>
      <x:c r="G45" s="8"/>
      <x:c r="H45" s="8"/>
      <x:c r="I45" s="8"/>
      <x:c r="J45" s="8"/>
      <x:c r="K45" s="8"/>
    </x:row>
    <x:row r="46">
      <x:c r="C46" s="8"/>
      <x:c r="D46" s="8"/>
      <x:c r="E46" s="8"/>
      <x:c r="F46" s="8"/>
      <x:c r="G46" s="8"/>
      <x:c r="H46" s="8"/>
      <x:c r="I46" s="8"/>
      <x:c r="J46" s="8"/>
      <x:c r="K46" s="8"/>
    </x:row>
    <x:row r="47"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C50" s="8"/>
      <x:c r="D50" s="8"/>
      <x:c r="E50" s="8"/>
      <x:c r="F50" s="8"/>
      <x:c r="G50" s="8"/>
      <x:c r="H50" s="8"/>
      <x:c r="I50" s="8"/>
      <x:c r="J50" s="8"/>
      <x:c r="K50" s="8"/>
    </x:row>
    <x:row r="51">
      <x:c r="C51" s="8"/>
      <x:c r="D51" s="8"/>
      <x:c r="E51" s="8"/>
      <x:c r="F51" s="8"/>
      <x:c r="G51" s="8"/>
      <x:c r="H51" s="8"/>
      <x:c r="I51" s="8"/>
      <x:c r="J51" s="8"/>
      <x:c r="K51" s="8"/>
    </x:row>
    <x:row r="52">
      <x:c r="C52" s="8"/>
      <x:c r="D52" s="8"/>
      <x:c r="E52" s="8"/>
      <x:c r="F52" s="8"/>
      <x:c r="G52" s="8"/>
      <x:c r="H52" s="8"/>
      <x:c r="I52" s="8"/>
      <x:c r="J52" s="8"/>
      <x:c r="K52" s="8"/>
    </x:row>
    <x:row r="53">
      <x:c r="C53" s="8"/>
      <x:c r="D53" s="8"/>
      <x:c r="E53" s="8"/>
      <x:c r="F53" s="8"/>
      <x:c r="G53" s="8"/>
      <x:c r="H53" s="8"/>
      <x:c r="I53" s="8"/>
      <x:c r="J53" s="8"/>
      <x:c r="K53" s="8"/>
    </x:row>
    <x:row r="54">
      <x:c r="C54" s="8"/>
      <x:c r="D54" s="8"/>
      <x:c r="E54" s="8"/>
      <x:c r="F54" s="8"/>
      <x:c r="G54" s="8"/>
      <x:c r="H54" s="8"/>
      <x:c r="I54" s="8"/>
      <x:c r="J54" s="8"/>
      <x:c r="K54" s="8"/>
    </x:row>
    <x:row r="55">
      <x:c r="C55" s="8"/>
      <x:c r="D55" s="8"/>
      <x:c r="E55" s="8"/>
      <x:c r="F55" s="8"/>
      <x:c r="G55" s="8"/>
      <x:c r="H55" s="8"/>
      <x:c r="I55" s="8"/>
      <x:c r="J55" s="8"/>
      <x:c r="K55" s="8"/>
    </x:row>
    <x:row r="56">
      <x:c r="C56" s="8"/>
      <x:c r="D56" s="8"/>
      <x:c r="E56" s="8"/>
      <x:c r="F56" s="8"/>
      <x:c r="G56" s="8"/>
      <x:c r="H56" s="8"/>
      <x:c r="I56" s="8"/>
      <x:c r="J56" s="8"/>
      <x:c r="K56" s="8"/>
    </x:row>
    <x:row r="57">
      <x:c r="C57" s="8"/>
      <x:c r="D57" s="8"/>
      <x:c r="E57" s="8"/>
      <x:c r="F57" s="8"/>
      <x:c r="G57" s="8"/>
      <x:c r="H57" s="8"/>
      <x:c r="I57" s="8"/>
      <x:c r="J57" s="8"/>
      <x:c r="K57" s="8"/>
    </x:row>
    <x:row r="58">
      <x:c r="C58" s="8"/>
      <x:c r="D58" s="8"/>
      <x:c r="E58" s="8"/>
      <x:c r="F58" s="8"/>
      <x:c r="G58" s="8"/>
      <x:c r="H58" s="8"/>
      <x:c r="I58" s="8"/>
      <x:c r="J58" s="8"/>
      <x:c r="K58" s="8"/>
    </x:row>
    <x:row r="59">
      <x:c r="C59" s="8"/>
      <x:c r="D59" s="8"/>
      <x:c r="E59" s="8"/>
      <x:c r="F59" s="8"/>
      <x:c r="G59" s="8"/>
      <x:c r="H59" s="8"/>
      <x:c r="I59" s="8"/>
      <x:c r="J59" s="8"/>
      <x:c r="K59" s="8"/>
    </x:row>
    <x:row r="60">
      <x:c r="C60" s="8"/>
      <x:c r="D60" s="8"/>
      <x:c r="E60" s="8"/>
      <x:c r="F60" s="8"/>
      <x:c r="G60" s="8"/>
      <x:c r="H60" s="8"/>
      <x:c r="I60" s="8"/>
      <x:c r="J60" s="8"/>
      <x:c r="K60" s="8"/>
    </x:row>
    <x:row r="61">
      <x:c r="C61" s="8"/>
      <x:c r="D61" s="8"/>
      <x:c r="E61" s="8"/>
      <x:c r="F61" s="8"/>
      <x:c r="G61" s="8"/>
      <x:c r="H61" s="8"/>
      <x:c r="I61" s="8"/>
      <x:c r="J61" s="8"/>
      <x:c r="K61" s="8"/>
    </x:row>
    <x:row r="62">
      <x:c r="C62" s="8"/>
      <x:c r="D62" s="8"/>
      <x:c r="E62" s="8"/>
      <x:c r="F62" s="8"/>
      <x:c r="G62" s="8"/>
      <x:c r="H62" s="8"/>
      <x:c r="I62" s="8"/>
      <x:c r="J62" s="8"/>
      <x:c r="K62" s="8"/>
    </x:row>
    <x:row r="63">
      <x:c r="C63" s="8"/>
      <x:c r="D63" s="8"/>
      <x:c r="E63" s="8"/>
      <x:c r="F63" s="8"/>
      <x:c r="G63" s="8"/>
      <x:c r="H63" s="8"/>
      <x:c r="I63" s="8"/>
      <x:c r="J63" s="8"/>
      <x:c r="K63" s="8"/>
    </x:row>
    <x:row r="64">
      <x:c r="C64" s="8"/>
      <x:c r="D64" s="8"/>
      <x:c r="E64" s="8"/>
      <x:c r="F64" s="8"/>
      <x:c r="G64" s="8"/>
      <x:c r="H64" s="8"/>
      <x:c r="I64" s="8"/>
      <x:c r="J64" s="8"/>
      <x:c r="K64" s="8"/>
    </x:row>
    <x:row r="65">
      <x:c r="C65" s="8"/>
      <x:c r="D65" s="8"/>
      <x:c r="E65" s="8"/>
      <x:c r="F65" s="8"/>
      <x:c r="G65" s="8"/>
      <x:c r="H65" s="8"/>
      <x:c r="I65" s="8"/>
      <x:c r="J65" s="8"/>
      <x:c r="K65" s="8"/>
    </x:row>
    <x:row r="66">
      <x:c r="C66" s="8"/>
      <x:c r="D66" s="8"/>
      <x:c r="E66" s="8"/>
      <x:c r="F66" s="8"/>
      <x:c r="G66" s="8"/>
      <x:c r="H66" s="8"/>
      <x:c r="I66" s="8"/>
      <x:c r="J66" s="8"/>
      <x:c r="K66" s="8"/>
    </x:row>
    <x:row r="67">
      <x:c r="C67" s="8"/>
      <x:c r="D67" s="8"/>
      <x:c r="E67" s="8"/>
      <x:c r="F67" s="8"/>
      <x:c r="G67" s="8"/>
      <x:c r="H67" s="8"/>
      <x:c r="I67" s="8"/>
      <x:c r="J67" s="8"/>
      <x:c r="K67" s="8"/>
    </x:row>
    <x:row r="68">
      <x:c r="C68" s="8"/>
      <x:c r="D68" s="8"/>
      <x:c r="E68" s="8"/>
      <x:c r="F68" s="8"/>
      <x:c r="G68" s="8"/>
      <x:c r="H68" s="8"/>
      <x:c r="I68" s="8"/>
      <x:c r="J68" s="8"/>
      <x:c r="K68" s="8"/>
    </x:row>
    <x:row r="69">
      <x:c r="C69" s="8"/>
      <x:c r="D69" s="8"/>
      <x:c r="E69" s="8"/>
      <x:c r="F69" s="8"/>
      <x:c r="G69" s="8"/>
      <x:c r="H69" s="8"/>
      <x:c r="I69" s="8"/>
      <x:c r="J69" s="8"/>
      <x:c r="K69" s="8"/>
    </x:row>
    <x:row r="70">
      <x:c r="C70" s="8"/>
      <x:c r="D70" s="8"/>
      <x:c r="E70" s="8"/>
      <x:c r="F70" s="8"/>
      <x:c r="G70" s="8"/>
      <x:c r="H70" s="8"/>
      <x:c r="I70" s="8"/>
      <x:c r="J70" s="8"/>
      <x:c r="K70" s="8"/>
    </x:row>
  </x:sheetData>
  <x:mergeCells>
    <x:mergeCell ref="C21:K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" hidden="0" customWidth="1"/>
    <x:col min="4" max="4" width="34" hidden="0" customWidth="1"/>
    <x:col min="5" max="5" width="48" hidden="0" customWidth="1"/>
    <x:col min="6" max="6" width="23" hidden="0" customWidth="1"/>
    <x:col min="7" max="7" width="26" hidden="0" customWidth="1"/>
    <x:col min="8" max="8" width="23" hidden="0" customWidth="1"/>
    <x:col min="9" max="9" width="27" hidden="0" customWidth="1"/>
    <x:col min="10" max="10" width="26" hidden="0" customWidth="1"/>
    <x:col min="11" max="11" width="14" hidden="0" customWidth="1"/>
  </x:cols>
  <x:sheetData>
    <x:row r="1">
      <x:c r="C1" s="8"/>
      <x:c r="D1" s="8"/>
      <x:c r="E1" s="8"/>
      <x:c r="F1" s="8"/>
      <x:c r="G1" s="8"/>
      <x:c r="H1" s="8"/>
      <x:c r="I1" s="8"/>
      <x:c r="J1" s="8"/>
      <x:c r="K1" s="8"/>
    </x:row>
    <x:row r="2">
      <x:c r="C2" s="9" t="str">
        <x:v>FitClub SLO, SLA және error budget</x:v>
      </x:c>
      <x:c r="D2" s="10"/>
      <x:c r="E2" s="10"/>
      <x:c r="F2" s="10"/>
      <x:c r="G2" s="10"/>
      <x:c r="H2" s="10"/>
      <x:c r="I2" s="10"/>
      <x:c r="J2" s="10"/>
      <x:c r="K2" s="10"/>
    </x:row>
    <x:row r="3">
      <x:c r="C3" s="11" t="str">
        <x:v>SLO серверге емес, нақты пайдаланушы сценарийіне байланыстырылды. Барлығы — production келісімі емес, ЛЗ8 жобасы.</x:v>
      </x:c>
      <x:c r="D3" s="11"/>
      <x:c r="E3" s="11"/>
      <x:c r="F3" s="11"/>
      <x:c r="G3" s="11"/>
      <x:c r="H3" s="11"/>
      <x:c r="I3" s="11"/>
      <x:c r="J3" s="11"/>
      <x:c r="K3" s="11"/>
    </x:row>
    <x:row r="4">
      <x:c r="C4" s="8"/>
      <x:c r="D4" s="8"/>
      <x:c r="E4" s="8"/>
      <x:c r="F4" s="8"/>
      <x:c r="G4" s="8"/>
      <x:c r="H4" s="8"/>
      <x:c r="I4" s="8"/>
      <x:c r="J4" s="8"/>
      <x:c r="K4" s="8"/>
    </x:row>
    <x:row r="5"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C6" s="16" t="str">
        <x:v>№</x:v>
      </x:c>
      <x:c r="D6" s="16" t="str">
        <x:v>Пайдаланушы сценарийі</x:v>
      </x:c>
      <x:c r="E6" s="16" t="str">
        <x:v>SLI өлшемі</x:v>
      </x:c>
      <x:c r="F6" s="16" t="str">
        <x:v>SLO</x:v>
      </x:c>
      <x:c r="G6" s="16" t="str">
        <x:v>SLA міндеттемесі</x:v>
      </x:c>
      <x:c r="H6" s="16" t="str">
        <x:v>Error budget</x:v>
      </x:c>
      <x:c r="I6" s="16" t="str">
        <x:v>Нөлдік төзім</x:v>
      </x:c>
      <x:c r="J6" s="16" t="str">
        <x:v>Дәлел</x:v>
      </x:c>
      <x:c r="K6" s="16" t="str">
        <x:v>Иесі</x:v>
      </x:c>
    </x:row>
    <x:row r="7">
      <x:c r="C7" s="18" t="n">
        <x:v>1</x:v>
      </x:c>
      <x:c r="D7" s="18" t="str">
        <x:v>Клиентті іздеу және абонемент мәртебесін ашу</x:v>
      </x:c>
      <x:c r="E7" s="18" t="str">
        <x:v>дұрыс рөлмен ≤1 с ішінде жауап берген жарамды сұраулар / барлық жарамды сұраулар</x:v>
      </x:c>
      <x:c r="F7" s="18" t="str">
        <x:v>айына ≥99%; p95 ≤1 с</x:v>
      </x:c>
      <x:c r="G7" s="18" t="str">
        <x:v>08:00–20:00 терезесінде айлық есеп; 5xx &lt;1%</x:v>
      </x:c>
      <x:c r="H7" s="18" t="str">
        <x:v>жарамды сұраудың ≤1%-ы</x:v>
      </x:c>
      <x:c r="I7" s="18" t="str">
        <x:v>рұқсатсыз дерек беру — 0</x:v>
      </x:c>
      <x:c r="J7" s="18" t="str">
        <x:v>request log + RBAC тест</x:v>
      </x:c>
      <x:c r="K7" s="18" t="str">
        <x:v>Айдос</x:v>
      </x:c>
    </x:row>
    <x:row r="8">
      <x:c r="C8" s="18" t="n">
        <x:v>2</x:v>
      </x:c>
      <x:c r="D8" s="18" t="str">
        <x:v>Жаттығуға жазылу немесе бас тарту</x:v>
      </x:c>
      <x:c r="E8" s="18" t="str">
        <x:v>≤1 с ішінде бір ғана нәтиже жасаған жарамды операциялар / барлық жарамды операциялар</x:v>
      </x:c>
      <x:c r="F8" s="18" t="str">
        <x:v>айына ≥99%; p95 ≤1 с</x:v>
      </x:c>
      <x:c r="G8" s="18" t="str">
        <x:v>айлық есеп; күтпеген қате &lt;1%</x:v>
      </x:c>
      <x:c r="H8" s="18" t="str">
        <x:v>жарамды операцияның ≤1%-ы</x:v>
      </x:c>
      <x:c r="I8" s="18" t="str">
        <x:v>double booking — 0</x:v>
      </x:c>
      <x:c r="J8" s="18" t="str">
        <x:v>integration test + audit log</x:v>
      </x:c>
      <x:c r="K8" s="18" t="str">
        <x:v>Әділбек</x:v>
      </x:c>
    </x:row>
    <x:row r="9">
      <x:c r="C9" s="18" t="n">
        <x:v>3</x:v>
      </x:c>
      <x:c r="D9" s="18" t="str">
        <x:v>Қатысуды немесе төлем мәртебесін тіркеу</x:v>
      </x:c>
      <x:c r="E9" s="18" t="str">
        <x:v>≤1 с ішінде сақталған және audit жазбасы бар жарамды операциялар / барлық жарамды операциялар</x:v>
      </x:c>
      <x:c r="F9" s="18" t="str">
        <x:v>айына ≥99%; p95 ≤1 с</x:v>
      </x:c>
      <x:c r="G9" s="18" t="str">
        <x:v>айлық есеп; күтпеген қате &lt;1%</x:v>
      </x:c>
      <x:c r="H9" s="18" t="str">
        <x:v>жарамды операцияның ≤1%-ы</x:v>
      </x:c>
      <x:c r="I9" s="18" t="str">
        <x:v>қайталама жазба және рұқсатсыз өзгеріс — 0</x:v>
      </x:c>
      <x:c r="J9" s="18" t="str">
        <x:v>integration test + audit log</x:v>
      </x:c>
      <x:c r="K9" s="18" t="str">
        <x:v>Әділбек</x:v>
      </x:c>
    </x:row>
    <x:row r="10"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C12" s="16" t="str">
        <x:v>Қолжетімділік есебі</x:v>
      </x:c>
      <x:c r="D12" s="16" t="str">
        <x:v>Мән</x:v>
      </x:c>
      <x:c r="E12" s="16" t="str">
        <x:v>Өлшем</x:v>
      </x:c>
      <x:c r="F12" s="16" t="str">
        <x:v>Формула</x:v>
      </x:c>
      <x:c r="G12" s="16" t="str">
        <x:v>Дерек</x:v>
      </x:c>
      <x:c r="H12" s="16" t="str">
        <x:v>Түсініктеме</x:v>
      </x:c>
      <x:c r="I12" s="8"/>
      <x:c r="J12" s="8"/>
      <x:c r="K12" s="8"/>
    </x:row>
    <x:row r="13">
      <x:c r="C13" s="18" t="str">
        <x:v>Есеп айындағы күн саны</x:v>
      </x:c>
      <x:c r="D13" s="18" t="n">
        <x:v>30</x:v>
      </x:c>
      <x:c r="E13" s="18" t="str">
        <x:v>күн</x:v>
      </x:c>
      <x:c r="F13" s="18" t="str">
        <x:v>сценарий</x:v>
      </x:c>
      <x:c r="G13" s="18" t="str">
        <x:v>есеп мысалы</x:v>
      </x:c>
      <x:c r="H13" s="18" t="str">
        <x:v>нақты айға ауыстырылады</x:v>
      </x:c>
      <x:c r="I13" s="8"/>
      <x:c r="J13" s="8"/>
      <x:c r="K13" s="8"/>
    </x:row>
    <x:row r="14">
      <x:c r="C14" s="18" t="str">
        <x:v>Қызмет терезесі</x:v>
      </x:c>
      <x:c r="D14" s="18" t="n">
        <x:f>'Бастапқы дерек'!D26</x:f>
        <x:v>12</x:v>
      </x:c>
      <x:c r="E14" s="18" t="str">
        <x:v>сағат/күн</x:v>
      </x:c>
      <x:c r="F14" s="18" t="str">
        <x:v>input</x:v>
      </x:c>
      <x:c r="G14" s="18" t="str">
        <x:v>NFR-02</x:v>
      </x:c>
      <x:c r="H14" s="18" t="str">
        <x:v>08:00–20:00</x:v>
      </x:c>
      <x:c r="I14" s="8"/>
      <x:c r="J14" s="8"/>
      <x:c r="K14" s="8"/>
    </x:row>
    <x:row r="15">
      <x:c r="C15" s="18" t="str">
        <x:v>Жоспарланған уақыт</x:v>
      </x:c>
      <x:c r="D15" s="18" t="n">
        <x:f>D13*D14</x:f>
        <x:v>360</x:v>
      </x:c>
      <x:c r="E15" s="18" t="str">
        <x:v>сағат</x:v>
      </x:c>
      <x:c r="F15" s="18" t="str">
        <x:v>күн × сағат</x:v>
      </x:c>
      <x:c r="G15" s="18" t="str">
        <x:v>формула</x:v>
      </x:c>
      <x:c r="H15" s="18" t="str"/>
      <x:c r="I15" s="8"/>
      <x:c r="J15" s="8"/>
      <x:c r="K15" s="8"/>
    </x:row>
    <x:row r="16">
      <x:c r="C16" s="18" t="str">
        <x:v>SLA қолжетімділік</x:v>
      </x:c>
      <x:c r="D16" s="41" t="n">
        <x:f>'Бастапқы дерек'!D27</x:f>
        <x:v>0.99</x:v>
      </x:c>
      <x:c r="E16" s="18" t="str">
        <x:v>%</x:v>
      </x:c>
      <x:c r="F16" s="18" t="str">
        <x:v>input</x:v>
      </x:c>
      <x:c r="G16" s="18" t="str">
        <x:v>NFR-02</x:v>
      </x:c>
      <x:c r="H16" s="18" t="str">
        <x:v>жоспарлы тоқтау да кіреді</x:v>
      </x:c>
      <x:c r="I16" s="8"/>
      <x:c r="J16" s="8"/>
      <x:c r="K16" s="8"/>
    </x:row>
    <x:row r="17">
      <x:c r="C17" s="18" t="str">
        <x:v>Рұқсат етілетін тоқтау</x:v>
      </x:c>
      <x:c r="D17" s="51" t="n">
        <x:f>D15*(1-D16)</x:f>
        <x:v>3.600000000000003</x:v>
      </x:c>
      <x:c r="E17" s="18" t="str">
        <x:v>сағат</x:v>
      </x:c>
      <x:c r="F17" s="18" t="str">
        <x:v>жоспарланған уақыт × (1−SLA)</x:v>
      </x:c>
      <x:c r="G17" s="18" t="str">
        <x:v>формула</x:v>
      </x:c>
      <x:c r="H17" s="18" t="str"/>
      <x:c r="I17" s="8"/>
      <x:c r="J17" s="8"/>
      <x:c r="K17" s="8"/>
    </x:row>
    <x:row r="18">
      <x:c r="C18" s="18" t="str">
        <x:v>Рұқсат етілетін тоқтау</x:v>
      </x:c>
      <x:c r="D18" s="18" t="str">
        <x:f>TEXT(D17/24,"[h]\h mm\m")</x:f>
        <x:v>3h 36m</x:v>
      </x:c>
      <x:c r="E18" s="18" t="str">
        <x:v>сағ:мин</x:v>
      </x:c>
      <x:c r="F18" s="18" t="str">
        <x:v>сағатты мәтінге айналдыру</x:v>
      </x:c>
      <x:c r="G18" s="18" t="str">
        <x:v>формула</x:v>
      </x:c>
      <x:c r="H18" s="18" t="str">
        <x:v>30 күндік мысал</x:v>
      </x:c>
      <x:c r="I18" s="8"/>
      <x:c r="J18" s="8"/>
      <x:c r="K18" s="8"/>
    </x:row>
    <x:row r="19"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C20" s="8"/>
      <x:c r="D20" s="8"/>
      <x:c r="E20" s="8"/>
      <x:c r="F20" s="8"/>
      <x:c r="G20" s="8"/>
      <x:c r="H20" s="8"/>
      <x:c r="I20" s="8"/>
      <x:c r="J20" s="8"/>
      <x:c r="K20" s="8"/>
    </x:row>
    <x:row r="21">
      <x:c r="C21" s="45" t="str">
        <x:v>Error budget біткенде әрекет</x:v>
      </x:c>
      <x:c r="D21" s="46" t="str"/>
      <x:c r="E21" s="46" t="str"/>
      <x:c r="F21" s="46" t="str"/>
      <x:c r="G21" s="46" t="str"/>
      <x:c r="H21" s="46" t="str"/>
      <x:c r="I21" s="46" t="str"/>
      <x:c r="J21" s="46" t="str"/>
      <x:c r="K21" s="47" t="str"/>
    </x:row>
    <x:row r="22">
      <x:c r="C22" s="49" t="str">
        <x:v>Жаңа функция шығару тоқтатылады; issue ашылады; Айдос root-cause пен қалпына келтіру жоспарын дайындайды; Әділбек қайта тест жүргізеді; Ануар оқытушыға статус пен қабылданған шешімді жеткізеді. RPO 24 сағат және RTO 4 сағат сақталады. Оқу жобасында қаржылық service credit жоқ.</x:v>
      </x:c>
      <x:c r="D22" s="49"/>
      <x:c r="E22" s="49"/>
      <x:c r="F22" s="49"/>
      <x:c r="G22" s="49"/>
      <x:c r="H22" s="49"/>
      <x:c r="I22" s="49"/>
      <x:c r="J22" s="49"/>
      <x:c r="K22" s="49"/>
    </x:row>
    <x:row r="23">
      <x:c r="C23" s="49"/>
      <x:c r="D23" s="49"/>
      <x:c r="E23" s="49"/>
      <x:c r="F23" s="49"/>
      <x:c r="G23" s="49"/>
      <x:c r="H23" s="49"/>
      <x:c r="I23" s="49"/>
      <x:c r="J23" s="49"/>
      <x:c r="K23" s="49"/>
    </x:row>
    <x:row r="24">
      <x:c r="C24" s="49"/>
      <x:c r="D24" s="49"/>
      <x:c r="E24" s="49"/>
      <x:c r="F24" s="49"/>
      <x:c r="G24" s="49"/>
      <x:c r="H24" s="49"/>
      <x:c r="I24" s="49"/>
      <x:c r="J24" s="49"/>
      <x:c r="K24" s="49"/>
    </x:row>
    <x:row r="25">
      <x:c r="C25" s="49"/>
      <x:c r="D25" s="49"/>
      <x:c r="E25" s="49"/>
      <x:c r="F25" s="49"/>
      <x:c r="G25" s="49"/>
      <x:c r="H25" s="49"/>
      <x:c r="I25" s="49"/>
      <x:c r="J25" s="49"/>
      <x:c r="K25" s="49"/>
    </x:row>
    <x:row r="26">
      <x:c r="C26" s="8"/>
      <x:c r="D26" s="8"/>
      <x:c r="E26" s="8"/>
      <x:c r="F26" s="8"/>
      <x:c r="G26" s="8"/>
      <x:c r="H26" s="8"/>
      <x:c r="I26" s="8"/>
      <x:c r="J26" s="8"/>
      <x:c r="K26" s="8"/>
    </x:row>
    <x:row r="27"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C33" s="8"/>
      <x:c r="D33" s="8"/>
      <x:c r="E33" s="8"/>
      <x:c r="F33" s="8"/>
      <x:c r="G33" s="8"/>
      <x:c r="H33" s="8"/>
      <x:c r="I33" s="8"/>
      <x:c r="J33" s="8"/>
      <x:c r="K33" s="8"/>
    </x:row>
    <x:row r="34">
      <x:c r="C34" s="8"/>
      <x:c r="D34" s="8"/>
      <x:c r="E34" s="8"/>
      <x:c r="F34" s="8"/>
      <x:c r="G34" s="8"/>
      <x:c r="H34" s="8"/>
      <x:c r="I34" s="8"/>
      <x:c r="J34" s="8"/>
      <x:c r="K34" s="8"/>
    </x:row>
    <x:row r="35">
      <x:c r="C35" s="8"/>
      <x:c r="D35" s="8"/>
      <x:c r="E35" s="8"/>
      <x:c r="F35" s="8"/>
      <x:c r="G35" s="8"/>
      <x:c r="H35" s="8"/>
      <x:c r="I35" s="8"/>
      <x:c r="J35" s="8"/>
      <x:c r="K35" s="8"/>
    </x:row>
    <x:row r="36">
      <x:c r="C36" s="8"/>
      <x:c r="D36" s="8"/>
      <x:c r="E36" s="8"/>
      <x:c r="F36" s="8"/>
      <x:c r="G36" s="8"/>
      <x:c r="H36" s="8"/>
      <x:c r="I36" s="8"/>
      <x:c r="J36" s="8"/>
      <x:c r="K36" s="8"/>
    </x:row>
    <x:row r="37">
      <x:c r="C37" s="8"/>
      <x:c r="D37" s="8"/>
      <x:c r="E37" s="8"/>
      <x:c r="F37" s="8"/>
      <x:c r="G37" s="8"/>
      <x:c r="H37" s="8"/>
      <x:c r="I37" s="8"/>
      <x:c r="J37" s="8"/>
      <x:c r="K37" s="8"/>
    </x:row>
    <x:row r="38">
      <x:c r="C38" s="8"/>
      <x:c r="D38" s="8"/>
      <x:c r="E38" s="8"/>
      <x:c r="F38" s="8"/>
      <x:c r="G38" s="8"/>
      <x:c r="H38" s="8"/>
      <x:c r="I38" s="8"/>
      <x:c r="J38" s="8"/>
      <x:c r="K38" s="8"/>
    </x:row>
    <x:row r="39">
      <x:c r="C39" s="8"/>
      <x:c r="D39" s="8"/>
      <x:c r="E39" s="8"/>
      <x:c r="F39" s="8"/>
      <x:c r="G39" s="8"/>
      <x:c r="H39" s="8"/>
      <x:c r="I39" s="8"/>
      <x:c r="J39" s="8"/>
      <x:c r="K39" s="8"/>
    </x:row>
    <x:row r="40">
      <x:c r="C40" s="8"/>
      <x:c r="D40" s="8"/>
      <x:c r="E40" s="8"/>
      <x:c r="F40" s="8"/>
      <x:c r="G40" s="8"/>
      <x:c r="H40" s="8"/>
      <x:c r="I40" s="8"/>
      <x:c r="J40" s="8"/>
      <x:c r="K40" s="8"/>
    </x:row>
    <x:row r="41">
      <x:c r="C41" s="8"/>
      <x:c r="D41" s="8"/>
      <x:c r="E41" s="8"/>
      <x:c r="F41" s="8"/>
      <x:c r="G41" s="8"/>
      <x:c r="H41" s="8"/>
      <x:c r="I41" s="8"/>
      <x:c r="J41" s="8"/>
      <x:c r="K41" s="8"/>
    </x:row>
    <x:row r="42">
      <x:c r="C42" s="8"/>
      <x:c r="D42" s="8"/>
      <x:c r="E42" s="8"/>
      <x:c r="F42" s="8"/>
      <x:c r="G42" s="8"/>
      <x:c r="H42" s="8"/>
      <x:c r="I42" s="8"/>
      <x:c r="J42" s="8"/>
      <x:c r="K42" s="8"/>
    </x:row>
    <x:row r="43">
      <x:c r="C43" s="8"/>
      <x:c r="D43" s="8"/>
      <x:c r="E43" s="8"/>
      <x:c r="F43" s="8"/>
      <x:c r="G43" s="8"/>
      <x:c r="H43" s="8"/>
      <x:c r="I43" s="8"/>
      <x:c r="J43" s="8"/>
      <x:c r="K43" s="8"/>
    </x:row>
    <x:row r="44"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C45" s="8"/>
      <x:c r="D45" s="8"/>
      <x:c r="E45" s="8"/>
      <x:c r="F45" s="8"/>
      <x:c r="G45" s="8"/>
      <x:c r="H45" s="8"/>
      <x:c r="I45" s="8"/>
      <x:c r="J45" s="8"/>
      <x:c r="K45" s="8"/>
    </x:row>
    <x:row r="46">
      <x:c r="C46" s="8"/>
      <x:c r="D46" s="8"/>
      <x:c r="E46" s="8"/>
      <x:c r="F46" s="8"/>
      <x:c r="G46" s="8"/>
      <x:c r="H46" s="8"/>
      <x:c r="I46" s="8"/>
      <x:c r="J46" s="8"/>
      <x:c r="K46" s="8"/>
    </x:row>
    <x:row r="47"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C50" s="8"/>
      <x:c r="D50" s="8"/>
      <x:c r="E50" s="8"/>
      <x:c r="F50" s="8"/>
      <x:c r="G50" s="8"/>
      <x:c r="H50" s="8"/>
      <x:c r="I50" s="8"/>
      <x:c r="J50" s="8"/>
      <x:c r="K50" s="8"/>
    </x:row>
    <x:row r="51">
      <x:c r="C51" s="8"/>
      <x:c r="D51" s="8"/>
      <x:c r="E51" s="8"/>
      <x:c r="F51" s="8"/>
      <x:c r="G51" s="8"/>
      <x:c r="H51" s="8"/>
      <x:c r="I51" s="8"/>
      <x:c r="J51" s="8"/>
      <x:c r="K51" s="8"/>
    </x:row>
    <x:row r="52">
      <x:c r="C52" s="8"/>
      <x:c r="D52" s="8"/>
      <x:c r="E52" s="8"/>
      <x:c r="F52" s="8"/>
      <x:c r="G52" s="8"/>
      <x:c r="H52" s="8"/>
      <x:c r="I52" s="8"/>
      <x:c r="J52" s="8"/>
      <x:c r="K52" s="8"/>
    </x:row>
    <x:row r="53">
      <x:c r="C53" s="8"/>
      <x:c r="D53" s="8"/>
      <x:c r="E53" s="8"/>
      <x:c r="F53" s="8"/>
      <x:c r="G53" s="8"/>
      <x:c r="H53" s="8"/>
      <x:c r="I53" s="8"/>
      <x:c r="J53" s="8"/>
      <x:c r="K53" s="8"/>
    </x:row>
    <x:row r="54">
      <x:c r="C54" s="8"/>
      <x:c r="D54" s="8"/>
      <x:c r="E54" s="8"/>
      <x:c r="F54" s="8"/>
      <x:c r="G54" s="8"/>
      <x:c r="H54" s="8"/>
      <x:c r="I54" s="8"/>
      <x:c r="J54" s="8"/>
      <x:c r="K54" s="8"/>
    </x:row>
    <x:row r="55">
      <x:c r="C55" s="8"/>
      <x:c r="D55" s="8"/>
      <x:c r="E55" s="8"/>
      <x:c r="F55" s="8"/>
      <x:c r="G55" s="8"/>
      <x:c r="H55" s="8"/>
      <x:c r="I55" s="8"/>
      <x:c r="J55" s="8"/>
      <x:c r="K55" s="8"/>
    </x:row>
    <x:row r="56">
      <x:c r="C56" s="8"/>
      <x:c r="D56" s="8"/>
      <x:c r="E56" s="8"/>
      <x:c r="F56" s="8"/>
      <x:c r="G56" s="8"/>
      <x:c r="H56" s="8"/>
      <x:c r="I56" s="8"/>
      <x:c r="J56" s="8"/>
      <x:c r="K56" s="8"/>
    </x:row>
    <x:row r="57">
      <x:c r="C57" s="8"/>
      <x:c r="D57" s="8"/>
      <x:c r="E57" s="8"/>
      <x:c r="F57" s="8"/>
      <x:c r="G57" s="8"/>
      <x:c r="H57" s="8"/>
      <x:c r="I57" s="8"/>
      <x:c r="J57" s="8"/>
      <x:c r="K57" s="8"/>
    </x:row>
    <x:row r="58">
      <x:c r="C58" s="8"/>
      <x:c r="D58" s="8"/>
      <x:c r="E58" s="8"/>
      <x:c r="F58" s="8"/>
      <x:c r="G58" s="8"/>
      <x:c r="H58" s="8"/>
      <x:c r="I58" s="8"/>
      <x:c r="J58" s="8"/>
      <x:c r="K58" s="8"/>
    </x:row>
    <x:row r="59">
      <x:c r="C59" s="8"/>
      <x:c r="D59" s="8"/>
      <x:c r="E59" s="8"/>
      <x:c r="F59" s="8"/>
      <x:c r="G59" s="8"/>
      <x:c r="H59" s="8"/>
      <x:c r="I59" s="8"/>
      <x:c r="J59" s="8"/>
      <x:c r="K59" s="8"/>
    </x:row>
    <x:row r="60">
      <x:c r="C60" s="8"/>
      <x:c r="D60" s="8"/>
      <x:c r="E60" s="8"/>
      <x:c r="F60" s="8"/>
      <x:c r="G60" s="8"/>
      <x:c r="H60" s="8"/>
      <x:c r="I60" s="8"/>
      <x:c r="J60" s="8"/>
      <x:c r="K60" s="8"/>
    </x:row>
    <x:row r="61">
      <x:c r="C61" s="8"/>
      <x:c r="D61" s="8"/>
      <x:c r="E61" s="8"/>
      <x:c r="F61" s="8"/>
      <x:c r="G61" s="8"/>
      <x:c r="H61" s="8"/>
      <x:c r="I61" s="8"/>
      <x:c r="J61" s="8"/>
      <x:c r="K61" s="8"/>
    </x:row>
    <x:row r="62">
      <x:c r="C62" s="8"/>
      <x:c r="D62" s="8"/>
      <x:c r="E62" s="8"/>
      <x:c r="F62" s="8"/>
      <x:c r="G62" s="8"/>
      <x:c r="H62" s="8"/>
      <x:c r="I62" s="8"/>
      <x:c r="J62" s="8"/>
      <x:c r="K62" s="8"/>
    </x:row>
    <x:row r="63">
      <x:c r="C63" s="8"/>
      <x:c r="D63" s="8"/>
      <x:c r="E63" s="8"/>
      <x:c r="F63" s="8"/>
      <x:c r="G63" s="8"/>
      <x:c r="H63" s="8"/>
      <x:c r="I63" s="8"/>
      <x:c r="J63" s="8"/>
      <x:c r="K63" s="8"/>
    </x:row>
    <x:row r="64">
      <x:c r="C64" s="8"/>
      <x:c r="D64" s="8"/>
      <x:c r="E64" s="8"/>
      <x:c r="F64" s="8"/>
      <x:c r="G64" s="8"/>
      <x:c r="H64" s="8"/>
      <x:c r="I64" s="8"/>
      <x:c r="J64" s="8"/>
      <x:c r="K64" s="8"/>
    </x:row>
    <x:row r="65">
      <x:c r="C65" s="8"/>
      <x:c r="D65" s="8"/>
      <x:c r="E65" s="8"/>
      <x:c r="F65" s="8"/>
      <x:c r="G65" s="8"/>
      <x:c r="H65" s="8"/>
      <x:c r="I65" s="8"/>
      <x:c r="J65" s="8"/>
      <x:c r="K65" s="8"/>
    </x:row>
    <x:row r="66">
      <x:c r="C66" s="8"/>
      <x:c r="D66" s="8"/>
      <x:c r="E66" s="8"/>
      <x:c r="F66" s="8"/>
      <x:c r="G66" s="8"/>
      <x:c r="H66" s="8"/>
      <x:c r="I66" s="8"/>
      <x:c r="J66" s="8"/>
      <x:c r="K66" s="8"/>
    </x:row>
    <x:row r="67">
      <x:c r="C67" s="8"/>
      <x:c r="D67" s="8"/>
      <x:c r="E67" s="8"/>
      <x:c r="F67" s="8"/>
      <x:c r="G67" s="8"/>
      <x:c r="H67" s="8"/>
      <x:c r="I67" s="8"/>
      <x:c r="J67" s="8"/>
      <x:c r="K67" s="8"/>
    </x:row>
    <x:row r="68">
      <x:c r="C68" s="8"/>
      <x:c r="D68" s="8"/>
      <x:c r="E68" s="8"/>
      <x:c r="F68" s="8"/>
      <x:c r="G68" s="8"/>
      <x:c r="H68" s="8"/>
      <x:c r="I68" s="8"/>
      <x:c r="J68" s="8"/>
      <x:c r="K68" s="8"/>
    </x:row>
    <x:row r="69">
      <x:c r="C69" s="8"/>
      <x:c r="D69" s="8"/>
      <x:c r="E69" s="8"/>
      <x:c r="F69" s="8"/>
      <x:c r="G69" s="8"/>
      <x:c r="H69" s="8"/>
      <x:c r="I69" s="8"/>
      <x:c r="J69" s="8"/>
      <x:c r="K69" s="8"/>
    </x:row>
    <x:row r="70">
      <x:c r="C70" s="8"/>
      <x:c r="D70" s="8"/>
      <x:c r="E70" s="8"/>
      <x:c r="F70" s="8"/>
      <x:c r="G70" s="8"/>
      <x:c r="H70" s="8"/>
      <x:c r="I70" s="8"/>
      <x:c r="J70" s="8"/>
      <x:c r="K70" s="8"/>
    </x:row>
    <x:row r="71">
      <x:c r="C71" s="8"/>
      <x:c r="D71" s="8"/>
      <x:c r="E71" s="8"/>
      <x:c r="F71" s="8"/>
      <x:c r="G71" s="8"/>
      <x:c r="H71" s="8"/>
      <x:c r="I71" s="8"/>
      <x:c r="J71" s="8"/>
      <x:c r="K71" s="8"/>
    </x:row>
    <x:row r="72">
      <x:c r="C72" s="8"/>
      <x:c r="D72" s="8"/>
      <x:c r="E72" s="8"/>
      <x:c r="F72" s="8"/>
      <x:c r="G72" s="8"/>
      <x:c r="H72" s="8"/>
      <x:c r="I72" s="8"/>
      <x:c r="J72" s="8"/>
      <x:c r="K72" s="8"/>
    </x:row>
    <x:row r="73">
      <x:c r="C73" s="8"/>
      <x:c r="D73" s="8"/>
      <x:c r="E73" s="8"/>
      <x:c r="F73" s="8"/>
      <x:c r="G73" s="8"/>
      <x:c r="H73" s="8"/>
      <x:c r="I73" s="8"/>
      <x:c r="J73" s="8"/>
      <x:c r="K73" s="8"/>
    </x:row>
    <x:row r="74">
      <x:c r="C74" s="8"/>
      <x:c r="D74" s="8"/>
      <x:c r="E74" s="8"/>
      <x:c r="F74" s="8"/>
      <x:c r="G74" s="8"/>
      <x:c r="H74" s="8"/>
      <x:c r="I74" s="8"/>
      <x:c r="J74" s="8"/>
      <x:c r="K74" s="8"/>
    </x:row>
    <x:row r="75">
      <x:c r="C75" s="8"/>
      <x:c r="D75" s="8"/>
      <x:c r="E75" s="8"/>
      <x:c r="F75" s="8"/>
      <x:c r="G75" s="8"/>
      <x:c r="H75" s="8"/>
      <x:c r="I75" s="8"/>
      <x:c r="J75" s="8"/>
      <x:c r="K75" s="8"/>
    </x:row>
    <x:row r="76">
      <x:c r="C76" s="8"/>
      <x:c r="D76" s="8"/>
      <x:c r="E76" s="8"/>
      <x:c r="F76" s="8"/>
      <x:c r="G76" s="8"/>
      <x:c r="H76" s="8"/>
      <x:c r="I76" s="8"/>
      <x:c r="J76" s="8"/>
      <x:c r="K76" s="8"/>
    </x:row>
    <x:row r="77">
      <x:c r="C77" s="8"/>
      <x:c r="D77" s="8"/>
      <x:c r="E77" s="8"/>
      <x:c r="F77" s="8"/>
      <x:c r="G77" s="8"/>
      <x:c r="H77" s="8"/>
      <x:c r="I77" s="8"/>
      <x:c r="J77" s="8"/>
      <x:c r="K77" s="8"/>
    </x:row>
    <x:row r="78">
      <x:c r="C78" s="8"/>
      <x:c r="D78" s="8"/>
      <x:c r="E78" s="8"/>
      <x:c r="F78" s="8"/>
      <x:c r="G78" s="8"/>
      <x:c r="H78" s="8"/>
      <x:c r="I78" s="8"/>
      <x:c r="J78" s="8"/>
      <x:c r="K78" s="8"/>
    </x:row>
    <x:row r="79">
      <x:c r="C79" s="8"/>
      <x:c r="D79" s="8"/>
      <x:c r="E79" s="8"/>
      <x:c r="F79" s="8"/>
      <x:c r="G79" s="8"/>
      <x:c r="H79" s="8"/>
      <x:c r="I79" s="8"/>
      <x:c r="J79" s="8"/>
      <x:c r="K79" s="8"/>
    </x:row>
    <x:row r="80">
      <x:c r="C80" s="8"/>
      <x:c r="D80" s="8"/>
      <x:c r="E80" s="8"/>
      <x:c r="F80" s="8"/>
      <x:c r="G80" s="8"/>
      <x:c r="H80" s="8"/>
      <x:c r="I80" s="8"/>
      <x:c r="J80" s="8"/>
      <x:c r="K80" s="8"/>
    </x:row>
  </x:sheetData>
  <x:mergeCells>
    <x:mergeCell ref="C22:K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34" hidden="0" customWidth="1"/>
    <x:col min="5" max="5" width="38" hidden="0" customWidth="1"/>
    <x:col min="6" max="6" width="28" hidden="0" customWidth="1"/>
    <x:col min="7" max="7" width="18" hidden="0" customWidth="1"/>
    <x:col min="8" max="8" width="18" hidden="0" customWidth="1"/>
    <x:col min="9" max="9" width="13" hidden="0" customWidth="1"/>
    <x:col min="10" max="10" width="32" hidden="0" customWidth="1"/>
  </x:cols>
  <x:sheetData>
    <x:row r="1">
      <x:c r="C1" s="8"/>
      <x:c r="D1" s="8"/>
      <x:c r="E1" s="8"/>
      <x:c r="F1" s="8"/>
      <x:c r="G1" s="8"/>
      <x:c r="H1" s="8"/>
      <x:c r="I1" s="8"/>
      <x:c r="J1" s="8"/>
    </x:row>
    <x:row r="2">
      <x:c r="C2" s="9" t="str">
        <x:v>FitClub SoW — нәтижелер және қабылдау</x:v>
      </x:c>
      <x:c r="D2" s="10"/>
      <x:c r="E2" s="10"/>
      <x:c r="F2" s="10"/>
      <x:c r="G2" s="10"/>
      <x:c r="H2" s="10"/>
      <x:c r="I2" s="10"/>
      <x:c r="J2" s="10"/>
    </x:row>
    <x:row r="3">
      <x:c r="C3" s="11" t="str">
        <x:v>Оқу жобасының ұсынылатын шарттары; заңды келісімшарт емес.</x:v>
      </x:c>
      <x:c r="D3" s="11"/>
      <x:c r="E3" s="11"/>
      <x:c r="F3" s="11"/>
      <x:c r="G3" s="11"/>
      <x:c r="H3" s="11"/>
      <x:c r="I3" s="11"/>
      <x:c r="J3" s="11"/>
    </x:row>
    <x:row r="4">
      <x:c r="C4" s="8"/>
      <x:c r="D4" s="8"/>
      <x:c r="E4" s="8"/>
      <x:c r="F4" s="8"/>
      <x:c r="G4" s="8"/>
      <x:c r="H4" s="8"/>
      <x:c r="I4" s="8"/>
      <x:c r="J4" s="8"/>
    </x:row>
    <x:row r="5">
      <x:c r="C5" s="8"/>
      <x:c r="D5" s="8"/>
      <x:c r="E5" s="8"/>
      <x:c r="F5" s="8"/>
      <x:c r="G5" s="8"/>
      <x:c r="H5" s="8"/>
      <x:c r="I5" s="8"/>
      <x:c r="J5" s="8"/>
    </x:row>
    <x:row r="6">
      <x:c r="C6" s="16" t="str">
        <x:v>Нәтиже</x:v>
      </x:c>
      <x:c r="D6" s="16" t="str">
        <x:v>Қамту</x:v>
      </x:c>
      <x:c r="E6" s="16" t="str">
        <x:v>Қабылдау критерийі</x:v>
      </x:c>
      <x:c r="F6" s="16" t="str">
        <x:v>Дәлел</x:v>
      </x:c>
      <x:c r="G6" s="16" t="str">
        <x:v>Қабылдаушы</x:v>
      </x:c>
      <x:c r="H6" s="16" t="str">
        <x:v>Жауапты</x:v>
      </x:c>
      <x:c r="I6" s="16" t="str">
        <x:v>Күй</x:v>
      </x:c>
      <x:c r="J6" s="16" t="str">
        <x:v>Ескерту</x:v>
      </x:c>
    </x:row>
    <x:row r="7">
      <x:c r="C7" s="18" t="str">
        <x:v>D1. SoW</x:v>
      </x:c>
      <x:c r="D7" s="18" t="str">
        <x:v>мақсат, scope, deliverable, шектеу, өзгеріс, құқық</x:v>
      </x:c>
      <x:c r="E7" s="18" t="str">
        <x:v>барлық міндетті бөлім бар</x:v>
      </x:c>
      <x:c r="F7" s="18" t="str">
        <x:v>sow.md / есеп</x:v>
      </x:c>
      <x:c r="G7" s="18" t="str">
        <x:v>Оқытушы</x:v>
      </x:c>
      <x:c r="H7" s="18" t="str">
        <x:v>Ануар</x:v>
      </x:c>
      <x:c r="I7" s="38" t="str">
        <x:v>Дайын</x:v>
      </x:c>
      <x:c r="J7" s="18" t="str">
        <x:v>ЛЗ8 жобасы</x:v>
      </x:c>
    </x:row>
    <x:row r="8">
      <x:c r="C8" s="18" t="str">
        <x:v>D2. SLA/SLO</x:v>
      </x:c>
      <x:c r="D8" s="18" t="str">
        <x:v>3 сценарий, SLI, SLO, SLA, error budget</x:v>
      </x:c>
      <x:c r="E8" s="18" t="str">
        <x:v>өлшенетін және сценарийге байланысқан</x:v>
      </x:c>
      <x:c r="F8" s="18" t="str">
        <x:v>slo-sla.md / Excel</x:v>
      </x:c>
      <x:c r="G8" s="18" t="str">
        <x:v>Оқытушы</x:v>
      </x:c>
      <x:c r="H8" s="18" t="str">
        <x:v>Айдос</x:v>
      </x:c>
      <x:c r="I8" s="38" t="str">
        <x:v>Дайын</x:v>
      </x:c>
      <x:c r="J8" s="18" t="str">
        <x:v>production келісімі емес</x:v>
      </x:c>
    </x:row>
    <x:row r="9">
      <x:c r="C9" s="18" t="str">
        <x:v>D3. 12 ай бюджет</x:v>
      </x:c>
      <x:c r="D9" s="18" t="str">
        <x:v>бір реттік + 1-жыл операциясы</x:v>
      </x:c>
      <x:c r="E9" s="18" t="str">
        <x:v>барлық формула көрінеді, айырма 0</x:v>
      </x:c>
      <x:c r="F9" s="18" t="str">
        <x:v>Excel</x:v>
      </x:c>
      <x:c r="G9" s="18" t="str">
        <x:v>Оқытушы</x:v>
      </x:c>
      <x:c r="H9" s="18" t="str">
        <x:v>Айдос</x:v>
      </x:c>
      <x:c r="I9" s="38" t="str">
        <x:v>Дайын</x:v>
      </x:c>
      <x:c r="J9" s="18" t="str">
        <x:v>ЛЗ3 мәндерімен байланысқан</x:v>
      </x:c>
    </x:row>
    <x:row r="10">
      <x:c r="C10" s="18" t="str">
        <x:v>D4. Unit экономика</x:v>
      </x:c>
      <x:c r="D10" s="18" t="str">
        <x:v>cost/user/month және break-even</x:v>
      </x:c>
      <x:c r="E10" s="18" t="str">
        <x:v>бірлік пен формула көрсетілген</x:v>
      </x:c>
      <x:c r="F10" s="18" t="str">
        <x:v>Excel</x:v>
      </x:c>
      <x:c r="G10" s="18" t="str">
        <x:v>Оқытушы</x:v>
      </x:c>
      <x:c r="H10" s="18" t="str">
        <x:v>Айдос</x:v>
      </x:c>
      <x:c r="I10" s="38" t="str">
        <x:v>Дайын</x:v>
      </x:c>
      <x:c r="J10" s="18" t="str">
        <x:v>1-жыл және тұрақты режим</x:v>
      </x:c>
    </x:row>
    <x:row r="11">
      <x:c r="C11" s="18" t="str">
        <x:v>D5. 3 жылдық хостинг</x:v>
      </x:c>
      <x:c r="D11" s="18" t="str">
        <x:v>public cloud, own infra, open stack/VPS</x:v>
      </x:c>
      <x:c r="E11" s="18" t="str">
        <x:v>ресми тариф және шектеу бар</x:v>
      </x:c>
      <x:c r="F11" s="18" t="str">
        <x:v>hosting-options.md / Excel</x:v>
      </x:c>
      <x:c r="G11" s="18" t="str">
        <x:v>Оқытушы</x:v>
      </x:c>
      <x:c r="H11" s="18" t="str">
        <x:v>Ануар</x:v>
      </x:c>
      <x:c r="I11" s="38" t="str">
        <x:v>Дайын</x:v>
      </x:c>
      <x:c r="J11" s="18" t="str">
        <x:v>өз infra — төменгі шек</x:v>
      </x:c>
    </x:row>
    <x:row r="12">
      <x:c r="C12" s="18" t="str">
        <x:v>D6. QA тексеруі</x:v>
      </x:c>
      <x:c r="D12" s="18" t="str">
        <x:v>formula, link, consistency</x:v>
      </x:c>
      <x:c r="E12" s="18" t="str">
        <x:v>қате формула жоқ, сома reconcile</x:v>
      </x:c>
      <x:c r="F12" s="18" t="str">
        <x:v>тексеру парағы</x:v>
      </x:c>
      <x:c r="G12" s="18" t="str">
        <x:v>Айдос</x:v>
      </x:c>
      <x:c r="H12" s="18" t="str">
        <x:v>Әділбек</x:v>
      </x:c>
      <x:c r="I12" s="38" t="str">
        <x:v>Дайын</x:v>
      </x:c>
      <x:c r="J12" s="18" t="str"/>
    </x:row>
    <x:row r="13">
      <x:c r="C13" s="18" t="str">
        <x:v>D7. Межелік бақылау</x:v>
      </x:c>
      <x:c r="D13" s="18" t="str">
        <x:v>1–8 апта дәлел картасы</x:v>
      </x:c>
      <x:c r="E13" s="18" t="str">
        <x:v>әр артефактқа жол және күй</x:v>
      </x:c>
      <x:c r="F13" s="18" t="str">
        <x:v>midterm-control.md</x:v>
      </x:c>
      <x:c r="G13" s="18" t="str">
        <x:v>Оқытушы</x:v>
      </x:c>
      <x:c r="H13" s="18" t="str">
        <x:v>Команда</x:v>
      </x:c>
      <x:c r="I13" s="38" t="str">
        <x:v>Дайын</x:v>
      </x:c>
      <x:c r="J13" s="18" t="str"/>
    </x:row>
    <x:row r="14">
      <x:c r="C14" s="8"/>
      <x:c r="D14" s="8"/>
      <x:c r="E14" s="8"/>
      <x:c r="F14" s="8"/>
      <x:c r="G14" s="8"/>
      <x:c r="H14" s="8"/>
      <x:c r="I14" s="8"/>
      <x:c r="J14" s="8"/>
    </x:row>
    <x:row r="15">
      <x:c r="C15" s="8"/>
      <x:c r="D15" s="8"/>
      <x:c r="E15" s="8"/>
      <x:c r="F15" s="8"/>
      <x:c r="G15" s="8"/>
      <x:c r="H15" s="8"/>
      <x:c r="I15" s="8"/>
      <x:c r="J15" s="8"/>
    </x:row>
    <x:row r="16">
      <x:c r="C16" s="28" t="str">
        <x:v>Өзгеріс процесі</x:v>
      </x:c>
      <x:c r="D16" s="29" t="str"/>
      <x:c r="E16" s="29" t="str"/>
      <x:c r="F16" s="29" t="str"/>
      <x:c r="G16" s="29" t="str"/>
      <x:c r="H16" s="29" t="str"/>
      <x:c r="I16" s="29" t="str"/>
      <x:c r="J16" s="30" t="str"/>
    </x:row>
    <x:row r="17">
      <x:c r="C17" s="18" t="str">
        <x:v>1</x:v>
      </x:c>
      <x:c r="D17" s="18" t="str">
        <x:v>Сұраныс</x:v>
      </x:c>
      <x:c r="E17" s="18" t="str">
        <x:v>Не және неге өзгеретіні issue/decision log-қа жазылады</x:v>
      </x:c>
      <x:c r="F17" s="18" t="str">
        <x:v>Ануар</x:v>
      </x:c>
      <x:c r="G17" s="8" t="str"/>
      <x:c r="H17" s="8" t="str"/>
      <x:c r="I17" s="8" t="str"/>
      <x:c r="J17" s="8" t="str"/>
    </x:row>
    <x:row r="18">
      <x:c r="C18" s="18" t="str">
        <x:v>2</x:v>
      </x:c>
      <x:c r="D18" s="18" t="str">
        <x:v>Талдау</x:v>
      </x:c>
      <x:c r="E18" s="18" t="str">
        <x:v>scope, мерзім, бюджет, қауіп және acceptance әсері бағаланады</x:v>
      </x:c>
      <x:c r="F18" s="18" t="str">
        <x:v>Айдос + Әділбек</x:v>
      </x:c>
      <x:c r="G18" s="8" t="str"/>
      <x:c r="H18" s="8" t="str"/>
      <x:c r="I18" s="8" t="str"/>
      <x:c r="J18" s="8" t="str"/>
    </x:row>
    <x:row r="19">
      <x:c r="C19" s="18" t="str">
        <x:v>3</x:v>
      </x:c>
      <x:c r="D19" s="18" t="str">
        <x:v>Шешім</x:v>
      </x:c>
      <x:c r="E19" s="18" t="str">
        <x:v>оқытушы қабылдайды, қабылдамайды немесе кейінге қалдырады</x:v>
      </x:c>
      <x:c r="F19" s="18" t="str">
        <x:v>Оқытушы</x:v>
      </x:c>
      <x:c r="G19" s="8" t="str"/>
      <x:c r="H19" s="8" t="str"/>
      <x:c r="I19" s="8" t="str"/>
      <x:c r="J19" s="8" t="str"/>
    </x:row>
    <x:row r="20">
      <x:c r="C20" s="18" t="str">
        <x:v>4</x:v>
      </x:c>
      <x:c r="D20" s="18" t="str">
        <x:v>Жаңарту</x:v>
      </x:c>
      <x:c r="E20" s="18" t="str">
        <x:v>backlog, жоспар, бюджет, тәуекел және құжат нұсқасы жаңарады</x:v>
      </x:c>
      <x:c r="F20" s="18" t="str">
        <x:v>Иесі</x:v>
      </x:c>
      <x:c r="G20" s="8" t="str"/>
      <x:c r="H20" s="8" t="str"/>
      <x:c r="I20" s="8" t="str"/>
      <x:c r="J20" s="8" t="str"/>
    </x:row>
    <x:row r="21">
      <x:c r="C21" s="18" t="str">
        <x:v>5</x:v>
      </x:c>
      <x:c r="D21" s="18" t="str">
        <x:v>Қабылдау</x:v>
      </x:c>
      <x:c r="E21" s="18" t="str">
        <x:v>жаңа критерий бойынша дәлел беріледі</x:v>
      </x:c>
      <x:c r="F21" s="18" t="str">
        <x:v>Әділбек</x:v>
      </x:c>
      <x:c r="G21" s="8" t="str"/>
      <x:c r="H21" s="8" t="str"/>
      <x:c r="I21" s="8" t="str"/>
      <x:c r="J21" s="8" t="str"/>
    </x:row>
    <x:row r="22">
      <x:c r="C22" s="8"/>
      <x:c r="D22" s="8"/>
      <x:c r="E22" s="8"/>
      <x:c r="F22" s="8"/>
      <x:c r="G22" s="8"/>
      <x:c r="H22" s="8"/>
      <x:c r="I22" s="8"/>
      <x:c r="J22" s="8"/>
    </x:row>
    <x:row r="23">
      <x:c r="C23" s="8"/>
      <x:c r="D23" s="8"/>
      <x:c r="E23" s="8"/>
      <x:c r="F23" s="8"/>
      <x:c r="G23" s="8"/>
      <x:c r="H23" s="8"/>
      <x:c r="I23" s="8"/>
      <x:c r="J23" s="8"/>
    </x:row>
    <x:row r="24">
      <x:c r="C24" s="45" t="str">
        <x:v>Құқықтар</x:v>
      </x:c>
      <x:c r="D24" s="46" t="str"/>
      <x:c r="E24" s="46" t="str"/>
      <x:c r="F24" s="46" t="str"/>
      <x:c r="G24" s="46" t="str"/>
      <x:c r="H24" s="46" t="str"/>
      <x:c r="I24" s="46" t="str"/>
      <x:c r="J24" s="47" t="str"/>
    </x:row>
    <x:row r="25">
      <x:c r="C25" s="49" t="str">
        <x:v>Ұсынылатын оқу шарты: студенттер авторлығын және бастапқы кодқа құқықтарын сақтайды; оқытушы нәтижені қарауға, бағалауға және оқу мақсатында пайдалануға құқылы; үшінші тарап кітапханалары өз лицензияларымен қолданылады; нақты фитнес-клубтың дерегі production келісімінсіз репозиторийге салынбайды. Бұл тармақтар заңды кеңес емес және нақты келісім жасалса қайта бекітіледі.</x:v>
      </x:c>
      <x:c r="D25" s="49"/>
      <x:c r="E25" s="49"/>
      <x:c r="F25" s="49"/>
      <x:c r="G25" s="49"/>
      <x:c r="H25" s="49"/>
      <x:c r="I25" s="49"/>
      <x:c r="J25" s="49"/>
    </x:row>
    <x:row r="26">
      <x:c r="C26" s="49"/>
      <x:c r="D26" s="49"/>
      <x:c r="E26" s="49"/>
      <x:c r="F26" s="49"/>
      <x:c r="G26" s="49"/>
      <x:c r="H26" s="49"/>
      <x:c r="I26" s="49"/>
      <x:c r="J26" s="49"/>
    </x:row>
    <x:row r="27">
      <x:c r="C27" s="49"/>
      <x:c r="D27" s="49"/>
      <x:c r="E27" s="49"/>
      <x:c r="F27" s="49"/>
      <x:c r="G27" s="49"/>
      <x:c r="H27" s="49"/>
      <x:c r="I27" s="49"/>
      <x:c r="J27" s="49"/>
    </x:row>
    <x:row r="28">
      <x:c r="C28" s="49"/>
      <x:c r="D28" s="49"/>
      <x:c r="E28" s="49"/>
      <x:c r="F28" s="49"/>
      <x:c r="G28" s="49"/>
      <x:c r="H28" s="49"/>
      <x:c r="I28" s="49"/>
      <x:c r="J28" s="49"/>
    </x:row>
    <x:row r="29">
      <x:c r="C29" s="49"/>
      <x:c r="D29" s="49"/>
      <x:c r="E29" s="49"/>
      <x:c r="F29" s="49"/>
      <x:c r="G29" s="49"/>
      <x:c r="H29" s="49"/>
      <x:c r="I29" s="49"/>
      <x:c r="J29" s="49"/>
    </x:row>
    <x:row r="30">
      <x:c r="C30" s="8"/>
      <x:c r="D30" s="8"/>
      <x:c r="E30" s="8"/>
      <x:c r="F30" s="8"/>
      <x:c r="G30" s="8"/>
      <x:c r="H30" s="8"/>
      <x:c r="I30" s="8"/>
      <x:c r="J30" s="8"/>
    </x:row>
    <x:row r="31">
      <x:c r="C31" s="8"/>
      <x:c r="D31" s="8"/>
      <x:c r="E31" s="8"/>
      <x:c r="F31" s="8"/>
      <x:c r="G31" s="8"/>
      <x:c r="H31" s="8"/>
      <x:c r="I31" s="8"/>
      <x:c r="J31" s="8"/>
    </x:row>
    <x:row r="32">
      <x:c r="C32" s="8"/>
      <x:c r="D32" s="8"/>
      <x:c r="E32" s="8"/>
      <x:c r="F32" s="8"/>
      <x:c r="G32" s="8"/>
      <x:c r="H32" s="8"/>
      <x:c r="I32" s="8"/>
      <x:c r="J32" s="8"/>
    </x:row>
    <x:row r="33">
      <x:c r="C33" s="8"/>
      <x:c r="D33" s="8"/>
      <x:c r="E33" s="8"/>
      <x:c r="F33" s="8"/>
      <x:c r="G33" s="8"/>
      <x:c r="H33" s="8"/>
      <x:c r="I33" s="8"/>
      <x:c r="J33" s="8"/>
    </x:row>
    <x:row r="34">
      <x:c r="C34" s="8"/>
      <x:c r="D34" s="8"/>
      <x:c r="E34" s="8"/>
      <x:c r="F34" s="8"/>
      <x:c r="G34" s="8"/>
      <x:c r="H34" s="8"/>
      <x:c r="I34" s="8"/>
      <x:c r="J34" s="8"/>
    </x:row>
    <x:row r="35">
      <x:c r="C35" s="8"/>
      <x:c r="D35" s="8"/>
      <x:c r="E35" s="8"/>
      <x:c r="F35" s="8"/>
      <x:c r="G35" s="8"/>
      <x:c r="H35" s="8"/>
      <x:c r="I35" s="8"/>
      <x:c r="J35" s="8"/>
    </x:row>
    <x:row r="36">
      <x:c r="C36" s="8"/>
      <x:c r="D36" s="8"/>
      <x:c r="E36" s="8"/>
      <x:c r="F36" s="8"/>
      <x:c r="G36" s="8"/>
      <x:c r="H36" s="8"/>
      <x:c r="I36" s="8"/>
      <x:c r="J36" s="8"/>
    </x:row>
    <x:row r="37">
      <x:c r="C37" s="8"/>
      <x:c r="D37" s="8"/>
      <x:c r="E37" s="8"/>
      <x:c r="F37" s="8"/>
      <x:c r="G37" s="8"/>
      <x:c r="H37" s="8"/>
      <x:c r="I37" s="8"/>
      <x:c r="J37" s="8"/>
    </x:row>
    <x:row r="38">
      <x:c r="C38" s="8"/>
      <x:c r="D38" s="8"/>
      <x:c r="E38" s="8"/>
      <x:c r="F38" s="8"/>
      <x:c r="G38" s="8"/>
      <x:c r="H38" s="8"/>
      <x:c r="I38" s="8"/>
      <x:c r="J38" s="8"/>
    </x:row>
    <x:row r="39">
      <x:c r="C39" s="8"/>
      <x:c r="D39" s="8"/>
      <x:c r="E39" s="8"/>
      <x:c r="F39" s="8"/>
      <x:c r="G39" s="8"/>
      <x:c r="H39" s="8"/>
      <x:c r="I39" s="8"/>
      <x:c r="J39" s="8"/>
    </x:row>
    <x:row r="40">
      <x:c r="C40" s="8"/>
      <x:c r="D40" s="8"/>
      <x:c r="E40" s="8"/>
      <x:c r="F40" s="8"/>
      <x:c r="G40" s="8"/>
      <x:c r="H40" s="8"/>
      <x:c r="I40" s="8"/>
      <x:c r="J40" s="8"/>
    </x:row>
    <x:row r="41">
      <x:c r="C41" s="8"/>
      <x:c r="D41" s="8"/>
      <x:c r="E41" s="8"/>
      <x:c r="F41" s="8"/>
      <x:c r="G41" s="8"/>
      <x:c r="H41" s="8"/>
      <x:c r="I41" s="8"/>
      <x:c r="J41" s="8"/>
    </x:row>
    <x:row r="42">
      <x:c r="C42" s="8"/>
      <x:c r="D42" s="8"/>
      <x:c r="E42" s="8"/>
      <x:c r="F42" s="8"/>
      <x:c r="G42" s="8"/>
      <x:c r="H42" s="8"/>
      <x:c r="I42" s="8"/>
      <x:c r="J42" s="8"/>
    </x:row>
    <x:row r="43">
      <x:c r="C43" s="8"/>
      <x:c r="D43" s="8"/>
      <x:c r="E43" s="8"/>
      <x:c r="F43" s="8"/>
      <x:c r="G43" s="8"/>
      <x:c r="H43" s="8"/>
      <x:c r="I43" s="8"/>
      <x:c r="J43" s="8"/>
    </x:row>
    <x:row r="44">
      <x:c r="C44" s="8"/>
      <x:c r="D44" s="8"/>
      <x:c r="E44" s="8"/>
      <x:c r="F44" s="8"/>
      <x:c r="G44" s="8"/>
      <x:c r="H44" s="8"/>
      <x:c r="I44" s="8"/>
      <x:c r="J44" s="8"/>
    </x:row>
    <x:row r="45">
      <x:c r="C45" s="8"/>
      <x:c r="D45" s="8"/>
      <x:c r="E45" s="8"/>
      <x:c r="F45" s="8"/>
      <x:c r="G45" s="8"/>
      <x:c r="H45" s="8"/>
      <x:c r="I45" s="8"/>
      <x:c r="J45" s="8"/>
    </x:row>
    <x:row r="46">
      <x:c r="C46" s="8"/>
      <x:c r="D46" s="8"/>
      <x:c r="E46" s="8"/>
      <x:c r="F46" s="8"/>
      <x:c r="G46" s="8"/>
      <x:c r="H46" s="8"/>
      <x:c r="I46" s="8"/>
      <x:c r="J46" s="8"/>
    </x:row>
    <x:row r="47">
      <x:c r="C47" s="8"/>
      <x:c r="D47" s="8"/>
      <x:c r="E47" s="8"/>
      <x:c r="F47" s="8"/>
      <x:c r="G47" s="8"/>
      <x:c r="H47" s="8"/>
      <x:c r="I47" s="8"/>
      <x:c r="J47" s="8"/>
    </x:row>
    <x:row r="48">
      <x:c r="C48" s="8"/>
      <x:c r="D48" s="8"/>
      <x:c r="E48" s="8"/>
      <x:c r="F48" s="8"/>
      <x:c r="G48" s="8"/>
      <x:c r="H48" s="8"/>
      <x:c r="I48" s="8"/>
      <x:c r="J48" s="8"/>
    </x:row>
    <x:row r="49">
      <x:c r="C49" s="8"/>
      <x:c r="D49" s="8"/>
      <x:c r="E49" s="8"/>
      <x:c r="F49" s="8"/>
      <x:c r="G49" s="8"/>
      <x:c r="H49" s="8"/>
      <x:c r="I49" s="8"/>
      <x:c r="J49" s="8"/>
    </x:row>
    <x:row r="50">
      <x:c r="C50" s="8"/>
      <x:c r="D50" s="8"/>
      <x:c r="E50" s="8"/>
      <x:c r="F50" s="8"/>
      <x:c r="G50" s="8"/>
      <x:c r="H50" s="8"/>
      <x:c r="I50" s="8"/>
      <x:c r="J50" s="8"/>
    </x:row>
    <x:row r="51">
      <x:c r="C51" s="8"/>
      <x:c r="D51" s="8"/>
      <x:c r="E51" s="8"/>
      <x:c r="F51" s="8"/>
      <x:c r="G51" s="8"/>
      <x:c r="H51" s="8"/>
      <x:c r="I51" s="8"/>
      <x:c r="J51" s="8"/>
    </x:row>
    <x:row r="52">
      <x:c r="C52" s="8"/>
      <x:c r="D52" s="8"/>
      <x:c r="E52" s="8"/>
      <x:c r="F52" s="8"/>
      <x:c r="G52" s="8"/>
      <x:c r="H52" s="8"/>
      <x:c r="I52" s="8"/>
      <x:c r="J52" s="8"/>
    </x:row>
    <x:row r="53">
      <x:c r="C53" s="8"/>
      <x:c r="D53" s="8"/>
      <x:c r="E53" s="8"/>
      <x:c r="F53" s="8"/>
      <x:c r="G53" s="8"/>
      <x:c r="H53" s="8"/>
      <x:c r="I53" s="8"/>
      <x:c r="J53" s="8"/>
    </x:row>
    <x:row r="54">
      <x:c r="C54" s="8"/>
      <x:c r="D54" s="8"/>
      <x:c r="E54" s="8"/>
      <x:c r="F54" s="8"/>
      <x:c r="G54" s="8"/>
      <x:c r="H54" s="8"/>
      <x:c r="I54" s="8"/>
      <x:c r="J54" s="8"/>
    </x:row>
    <x:row r="55">
      <x:c r="C55" s="8"/>
      <x:c r="D55" s="8"/>
      <x:c r="E55" s="8"/>
      <x:c r="F55" s="8"/>
      <x:c r="G55" s="8"/>
      <x:c r="H55" s="8"/>
      <x:c r="I55" s="8"/>
      <x:c r="J55" s="8"/>
    </x:row>
    <x:row r="56">
      <x:c r="C56" s="8"/>
      <x:c r="D56" s="8"/>
      <x:c r="E56" s="8"/>
      <x:c r="F56" s="8"/>
      <x:c r="G56" s="8"/>
      <x:c r="H56" s="8"/>
      <x:c r="I56" s="8"/>
      <x:c r="J56" s="8"/>
    </x:row>
    <x:row r="57">
      <x:c r="C57" s="8"/>
      <x:c r="D57" s="8"/>
      <x:c r="E57" s="8"/>
      <x:c r="F57" s="8"/>
      <x:c r="G57" s="8"/>
      <x:c r="H57" s="8"/>
      <x:c r="I57" s="8"/>
      <x:c r="J57" s="8"/>
    </x:row>
    <x:row r="58">
      <x:c r="C58" s="8"/>
      <x:c r="D58" s="8"/>
      <x:c r="E58" s="8"/>
      <x:c r="F58" s="8"/>
      <x:c r="G58" s="8"/>
      <x:c r="H58" s="8"/>
      <x:c r="I58" s="8"/>
      <x:c r="J58" s="8"/>
    </x:row>
    <x:row r="59">
      <x:c r="C59" s="8"/>
      <x:c r="D59" s="8"/>
      <x:c r="E59" s="8"/>
      <x:c r="F59" s="8"/>
      <x:c r="G59" s="8"/>
      <x:c r="H59" s="8"/>
      <x:c r="I59" s="8"/>
      <x:c r="J59" s="8"/>
    </x:row>
    <x:row r="60">
      <x:c r="C60" s="8"/>
      <x:c r="D60" s="8"/>
      <x:c r="E60" s="8"/>
      <x:c r="F60" s="8"/>
      <x:c r="G60" s="8"/>
      <x:c r="H60" s="8"/>
      <x:c r="I60" s="8"/>
      <x:c r="J60" s="8"/>
    </x:row>
    <x:row r="61">
      <x:c r="C61" s="8"/>
      <x:c r="D61" s="8"/>
      <x:c r="E61" s="8"/>
      <x:c r="F61" s="8"/>
      <x:c r="G61" s="8"/>
      <x:c r="H61" s="8"/>
      <x:c r="I61" s="8"/>
      <x:c r="J61" s="8"/>
    </x:row>
    <x:row r="62">
      <x:c r="C62" s="8"/>
      <x:c r="D62" s="8"/>
      <x:c r="E62" s="8"/>
      <x:c r="F62" s="8"/>
      <x:c r="G62" s="8"/>
      <x:c r="H62" s="8"/>
      <x:c r="I62" s="8"/>
      <x:c r="J62" s="8"/>
    </x:row>
    <x:row r="63">
      <x:c r="C63" s="8"/>
      <x:c r="D63" s="8"/>
      <x:c r="E63" s="8"/>
      <x:c r="F63" s="8"/>
      <x:c r="G63" s="8"/>
      <x:c r="H63" s="8"/>
      <x:c r="I63" s="8"/>
      <x:c r="J63" s="8"/>
    </x:row>
    <x:row r="64">
      <x:c r="C64" s="8"/>
      <x:c r="D64" s="8"/>
      <x:c r="E64" s="8"/>
      <x:c r="F64" s="8"/>
      <x:c r="G64" s="8"/>
      <x:c r="H64" s="8"/>
      <x:c r="I64" s="8"/>
      <x:c r="J64" s="8"/>
    </x:row>
    <x:row r="65">
      <x:c r="C65" s="8"/>
      <x:c r="D65" s="8"/>
      <x:c r="E65" s="8"/>
      <x:c r="F65" s="8"/>
      <x:c r="G65" s="8"/>
      <x:c r="H65" s="8"/>
      <x:c r="I65" s="8"/>
      <x:c r="J65" s="8"/>
    </x:row>
    <x:row r="66">
      <x:c r="C66" s="8"/>
      <x:c r="D66" s="8"/>
      <x:c r="E66" s="8"/>
      <x:c r="F66" s="8"/>
      <x:c r="G66" s="8"/>
      <x:c r="H66" s="8"/>
      <x:c r="I66" s="8"/>
      <x:c r="J66" s="8"/>
    </x:row>
    <x:row r="67">
      <x:c r="C67" s="8"/>
      <x:c r="D67" s="8"/>
      <x:c r="E67" s="8"/>
      <x:c r="F67" s="8"/>
      <x:c r="G67" s="8"/>
      <x:c r="H67" s="8"/>
      <x:c r="I67" s="8"/>
      <x:c r="J67" s="8"/>
    </x:row>
    <x:row r="68">
      <x:c r="C68" s="8"/>
      <x:c r="D68" s="8"/>
      <x:c r="E68" s="8"/>
      <x:c r="F68" s="8"/>
      <x:c r="G68" s="8"/>
      <x:c r="H68" s="8"/>
      <x:c r="I68" s="8"/>
      <x:c r="J68" s="8"/>
    </x:row>
    <x:row r="69">
      <x:c r="C69" s="8"/>
      <x:c r="D69" s="8"/>
      <x:c r="E69" s="8"/>
      <x:c r="F69" s="8"/>
      <x:c r="G69" s="8"/>
      <x:c r="H69" s="8"/>
      <x:c r="I69" s="8"/>
      <x:c r="J69" s="8"/>
    </x:row>
    <x:row r="70">
      <x:c r="C70" s="8"/>
      <x:c r="D70" s="8"/>
      <x:c r="E70" s="8"/>
      <x:c r="F70" s="8"/>
      <x:c r="G70" s="8"/>
      <x:c r="H70" s="8"/>
      <x:c r="I70" s="8"/>
      <x:c r="J70" s="8"/>
    </x:row>
    <x:row r="71">
      <x:c r="C71" s="8"/>
      <x:c r="D71" s="8"/>
      <x:c r="E71" s="8"/>
      <x:c r="F71" s="8"/>
      <x:c r="G71" s="8"/>
      <x:c r="H71" s="8"/>
      <x:c r="I71" s="8"/>
      <x:c r="J71" s="8"/>
    </x:row>
    <x:row r="72">
      <x:c r="C72" s="8"/>
      <x:c r="D72" s="8"/>
      <x:c r="E72" s="8"/>
      <x:c r="F72" s="8"/>
      <x:c r="G72" s="8"/>
      <x:c r="H72" s="8"/>
      <x:c r="I72" s="8"/>
      <x:c r="J72" s="8"/>
    </x:row>
    <x:row r="73">
      <x:c r="C73" s="8"/>
      <x:c r="D73" s="8"/>
      <x:c r="E73" s="8"/>
      <x:c r="F73" s="8"/>
      <x:c r="G73" s="8"/>
      <x:c r="H73" s="8"/>
      <x:c r="I73" s="8"/>
      <x:c r="J73" s="8"/>
    </x:row>
    <x:row r="74">
      <x:c r="C74" s="8"/>
      <x:c r="D74" s="8"/>
      <x:c r="E74" s="8"/>
      <x:c r="F74" s="8"/>
      <x:c r="G74" s="8"/>
      <x:c r="H74" s="8"/>
      <x:c r="I74" s="8"/>
      <x:c r="J74" s="8"/>
    </x:row>
    <x:row r="75">
      <x:c r="C75" s="8"/>
      <x:c r="D75" s="8"/>
      <x:c r="E75" s="8"/>
      <x:c r="F75" s="8"/>
      <x:c r="G75" s="8"/>
      <x:c r="H75" s="8"/>
      <x:c r="I75" s="8"/>
      <x:c r="J75" s="8"/>
    </x:row>
    <x:row r="76">
      <x:c r="C76" s="8"/>
      <x:c r="D76" s="8"/>
      <x:c r="E76" s="8"/>
      <x:c r="F76" s="8"/>
      <x:c r="G76" s="8"/>
      <x:c r="H76" s="8"/>
      <x:c r="I76" s="8"/>
      <x:c r="J76" s="8"/>
    </x:row>
    <x:row r="77">
      <x:c r="C77" s="8"/>
      <x:c r="D77" s="8"/>
      <x:c r="E77" s="8"/>
      <x:c r="F77" s="8"/>
      <x:c r="G77" s="8"/>
      <x:c r="H77" s="8"/>
      <x:c r="I77" s="8"/>
      <x:c r="J77" s="8"/>
    </x:row>
    <x:row r="78">
      <x:c r="C78" s="8"/>
      <x:c r="D78" s="8"/>
      <x:c r="E78" s="8"/>
      <x:c r="F78" s="8"/>
      <x:c r="G78" s="8"/>
      <x:c r="H78" s="8"/>
      <x:c r="I78" s="8"/>
      <x:c r="J78" s="8"/>
    </x:row>
    <x:row r="79">
      <x:c r="C79" s="8"/>
      <x:c r="D79" s="8"/>
      <x:c r="E79" s="8"/>
      <x:c r="F79" s="8"/>
      <x:c r="G79" s="8"/>
      <x:c r="H79" s="8"/>
      <x:c r="I79" s="8"/>
      <x:c r="J79" s="8"/>
    </x:row>
    <x:row r="80">
      <x:c r="C80" s="8"/>
      <x:c r="D80" s="8"/>
      <x:c r="E80" s="8"/>
      <x:c r="F80" s="8"/>
      <x:c r="G80" s="8"/>
      <x:c r="H80" s="8"/>
      <x:c r="I80" s="8"/>
      <x:c r="J80" s="8"/>
    </x:row>
  </x:sheetData>
  <x:mergeCells>
    <x:mergeCell ref="C25:J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1" hidden="0" customWidth="1"/>
    <x:col min="5" max="5" width="37" hidden="0" customWidth="1"/>
    <x:col min="6" max="6" width="66" hidden="0" customWidth="1"/>
    <x:col min="7" max="7" width="16" hidden="0" customWidth="1"/>
    <x:col min="8" max="8" width="45" hidden="0" customWidth="1"/>
  </x:cols>
  <x:sheetData>
    <x:row r="1">
      <x:c r="C1" s="8"/>
      <x:c r="D1" s="8"/>
      <x:c r="E1" s="8"/>
      <x:c r="F1" s="8"/>
      <x:c r="G1" s="8"/>
      <x:c r="H1" s="8"/>
    </x:row>
    <x:row r="2">
      <x:c r="C2" s="9" t="str">
        <x:v>ЛЗ8 дереккөздері</x:v>
      </x:c>
      <x:c r="D2" s="10"/>
      <x:c r="E2" s="10"/>
      <x:c r="F2" s="10"/>
      <x:c r="G2" s="10"/>
      <x:c r="H2" s="10"/>
    </x:row>
    <x:row r="3">
      <x:c r="C3" s="11" t="str">
        <x:v>Барлық сыртқы баға ресми немесе жарияланған беттен; қол жеткізу күні — 22.10.2026.</x:v>
      </x:c>
      <x:c r="D3" s="11"/>
      <x:c r="E3" s="11"/>
      <x:c r="F3" s="11"/>
      <x:c r="G3" s="11"/>
      <x:c r="H3" s="11"/>
    </x:row>
    <x:row r="4">
      <x:c r="C4" s="8"/>
      <x:c r="D4" s="8"/>
      <x:c r="E4" s="8"/>
      <x:c r="F4" s="8"/>
      <x:c r="G4" s="8"/>
      <x:c r="H4" s="8"/>
    </x:row>
    <x:row r="5">
      <x:c r="C5" s="8"/>
      <x:c r="D5" s="8"/>
      <x:c r="E5" s="8"/>
      <x:c r="F5" s="8"/>
      <x:c r="G5" s="8"/>
      <x:c r="H5" s="8"/>
    </x:row>
    <x:row r="6">
      <x:c r="C6" s="16" t="str">
        <x:v>ID</x:v>
      </x:c>
      <x:c r="D6" s="16" t="str">
        <x:v>Дереккөз</x:v>
      </x:c>
      <x:c r="E6" s="16" t="str">
        <x:v>Қолданылған мән</x:v>
      </x:c>
      <x:c r="F6" s="16" t="str">
        <x:v>URL</x:v>
      </x:c>
      <x:c r="G6" s="16" t="str">
        <x:v>Күні</x:v>
      </x:c>
      <x:c r="H6" s="16" t="str">
        <x:v>Ескерту</x:v>
      </x:c>
    </x:row>
    <x:row r="7">
      <x:c r="C7" s="18" t="str">
        <x:v>S0</x:v>
      </x:c>
      <x:c r="D7" s="18" t="str">
        <x:v>Пән әдістемесі</x:v>
      </x:c>
      <x:c r="E7" s="18" t="str">
        <x:v>ЛЗ8 талаптары</x:v>
      </x:c>
      <x:c r="F7" s="52" t="str">
        <x:v>Управление ИТ-проектами_15 недель_2026.docx</x:v>
      </x:c>
      <x:c r="G7" s="18" t="str">
        <x:v>22.10.2026</x:v>
      </x:c>
      <x:c r="H7" s="18" t="str">
        <x:v>Пайдаланушы берген файл</x:v>
      </x:c>
    </x:row>
    <x:row r="8">
      <x:c r="C8" s="18" t="str">
        <x:v>S1</x:v>
      </x:c>
      <x:c r="D8" s="18" t="str">
        <x:v>ҚР Ұлттық Банкі</x:v>
      </x:c>
      <x:c r="E8" s="18" t="str">
        <x:v>USD/KZT 448.61; GBP/KZT 600.82</x:v>
      </x:c>
      <x:c r="F8" s="52" t="str">
        <x:v>https://nationalbank.kz/kz/exchangerates/ezhednevnye-oficialnye-rynochnye-kursy-valyut</x:v>
      </x:c>
      <x:c r="G8" s="18" t="str">
        <x:v>22.10.2026</x:v>
      </x:c>
      <x:c r="H8" s="18" t="str">
        <x:v>Ресми күндік бағам</x:v>
      </x:c>
    </x:row>
    <x:row r="9">
      <x:c r="C9" s="18" t="str">
        <x:v>S2</x:v>
      </x:c>
      <x:c r="D9" s="18" t="str">
        <x:v>ҚР Ұлттық статистика бюросы</x:v>
      </x:c>
      <x:c r="E9" s="18" t="str">
        <x:v>818114 және 305088 ₸/ай</x:v>
      </x:c>
      <x:c r="F9" s="52" t="str">
        <x:v>https://stat.gov.kz/</x:v>
      </x:c>
      <x:c r="G9" s="18" t="str">
        <x:v>ЛЗ3</x:v>
      </x:c>
      <x:c r="H9" s="18" t="str">
        <x:v>ЛЗ3 моделінде қолданылған прокси; нақты клуб жалақысы емес</x:v>
      </x:c>
    </x:row>
    <x:row r="10">
      <x:c r="C10" s="18" t="str">
        <x:v>S3</x:v>
      </x:c>
      <x:c r="D10" s="18" t="str">
        <x:v>DigitalOcean Droplet pricing</x:v>
      </x:c>
      <x:c r="E10" s="18" t="str">
        <x:v>$24/ай; 2 vCPU, 4 GiB, 80 GiB</x:v>
      </x:c>
      <x:c r="F10" s="52" t="str">
        <x:v>https://www.digitalocean.com/pricing/droplets</x:v>
      </x:c>
      <x:c r="G10" s="18" t="str">
        <x:v>22.10.2026</x:v>
      </x:c>
      <x:c r="H10" s="18" t="str">
        <x:v>Жарияланған тариф</x:v>
      </x:c>
    </x:row>
    <x:row r="11">
      <x:c r="C11" s="18" t="str">
        <x:v>S4</x:v>
      </x:c>
      <x:c r="D11" s="18" t="str">
        <x:v>DigitalOcean Backups pricing</x:v>
      </x:c>
      <x:c r="E11" s="18" t="str">
        <x:v>weekly backup = 20%</x:v>
      </x:c>
      <x:c r="F11" s="52" t="str">
        <x:v>https://docs.digitalocean.com/products/backups/details/pricing/</x:v>
      </x:c>
      <x:c r="G11" s="18" t="str">
        <x:v>22.10.2026</x:v>
      </x:c>
      <x:c r="H11" s="18" t="str">
        <x:v>Ресми құжаттама</x:v>
      </x:c>
    </x:row>
    <x:row r="12">
      <x:c r="C12" s="18" t="str">
        <x:v>S5</x:v>
      </x:c>
      <x:c r="D12" s="18" t="str">
        <x:v>Amazon Lightsail pricing</x:v>
      </x:c>
      <x:c r="E12" s="18" t="str">
        <x:v>$24 VM + $30 managed DB</x:v>
      </x:c>
      <x:c r="F12" s="52" t="str">
        <x:v>https://aws.amazon.com/lightsail/pricing/</x:v>
      </x:c>
      <x:c r="G12" s="18" t="str">
        <x:v>22.10.2026</x:v>
      </x:c>
      <x:c r="H12" s="18" t="str">
        <x:v>Жарияланған тариф</x:v>
      </x:c>
    </x:row>
    <x:row r="13">
      <x:c r="C13" s="18" t="str">
        <x:v>S6</x:v>
      </x:c>
      <x:c r="D13" s="18" t="str">
        <x:v>The Pi Hut</x:v>
      </x:c>
      <x:c r="E13" s="18" t="str">
        <x:v>Raspberry Pi 5 Starter Kit 8GB = £224.50</x:v>
      </x:c>
      <x:c r="F13" s="52" t="str">
        <x:v>https://thepihut.com/products/raspberry-pi-5-starter-kit?variant=42614953214147</x:v>
      </x:c>
      <x:c r="G13" s="18" t="str">
        <x:v>22.10.2026</x:v>
      </x:c>
      <x:c r="H13" s="18" t="str">
        <x:v>Raspberry Pi approved reseller; VAT-пен</x:v>
      </x:c>
    </x:row>
    <x:row r="14">
      <x:c r="C14" s="18" t="str">
        <x:v>P1</x:v>
      </x:c>
      <x:c r="D14" s="18" t="str">
        <x:v>FitClub ЛЗ3–ЛЗ7</x:v>
      </x:c>
      <x:c r="E14" s="18" t="str">
        <x:v>A1–A18, NFR-02/06, scope, roles</x:v>
      </x:c>
      <x:c r="F14" s="52" t="str">
        <x:v>GitHub репозиторийіндегі docs</x:v>
      </x:c>
      <x:c r="G14" s="18" t="str">
        <x:v>2026</x:v>
      </x:c>
      <x:c r="H14" s="18" t="str">
        <x:v>Жоба ішкі дерегі</x:v>
      </x:c>
    </x:row>
    <x:row r="15">
      <x:c r="C15" s="8"/>
      <x:c r="D15" s="8"/>
      <x:c r="E15" s="8"/>
      <x:c r="F15" s="8"/>
      <x:c r="G15" s="8"/>
      <x:c r="H15" s="8"/>
    </x:row>
    <x:row r="16">
      <x:c r="C16" s="8"/>
      <x:c r="D16" s="8"/>
      <x:c r="E16" s="8"/>
      <x:c r="F16" s="8"/>
      <x:c r="G16" s="8"/>
      <x:c r="H16" s="8"/>
    </x:row>
    <x:row r="17">
      <x:c r="C17" s="8"/>
      <x:c r="D17" s="8"/>
      <x:c r="E17" s="8"/>
      <x:c r="F17" s="8"/>
      <x:c r="G17" s="8"/>
      <x:c r="H17" s="8"/>
    </x:row>
    <x:row r="18">
      <x:c r="C18" s="8"/>
      <x:c r="D18" s="8"/>
      <x:c r="E18" s="8"/>
      <x:c r="F18" s="8"/>
      <x:c r="G18" s="8"/>
      <x:c r="H18" s="8"/>
    </x:row>
    <x:row r="19">
      <x:c r="C19" s="8"/>
      <x:c r="D19" s="8"/>
      <x:c r="E19" s="8"/>
      <x:c r="F19" s="8"/>
      <x:c r="G19" s="8"/>
      <x:c r="H19" s="8"/>
    </x:row>
    <x:row r="20">
      <x:c r="C20" s="8"/>
      <x:c r="D20" s="8"/>
      <x:c r="E20" s="8"/>
      <x:c r="F20" s="8"/>
      <x:c r="G20" s="8"/>
      <x:c r="H20" s="8"/>
    </x:row>
    <x:row r="21">
      <x:c r="C21" s="8"/>
      <x:c r="D21" s="8"/>
      <x:c r="E21" s="8"/>
      <x:c r="F21" s="8"/>
      <x:c r="G21" s="8"/>
      <x:c r="H21" s="8"/>
    </x:row>
    <x:row r="22">
      <x:c r="C22" s="8"/>
      <x:c r="D22" s="8"/>
      <x:c r="E22" s="8"/>
      <x:c r="F22" s="8"/>
      <x:c r="G22" s="8"/>
      <x:c r="H22" s="8"/>
    </x:row>
    <x:row r="23">
      <x:c r="C23" s="8"/>
      <x:c r="D23" s="8"/>
      <x:c r="E23" s="8"/>
      <x:c r="F23" s="8"/>
      <x:c r="G23" s="8"/>
      <x:c r="H23" s="8"/>
    </x:row>
    <x:row r="24">
      <x:c r="C24" s="8"/>
      <x:c r="D24" s="8"/>
      <x:c r="E24" s="8"/>
      <x:c r="F24" s="8"/>
      <x:c r="G24" s="8"/>
      <x:c r="H24" s="8"/>
    </x:row>
    <x:row r="25">
      <x:c r="C25" s="8"/>
      <x:c r="D25" s="8"/>
      <x:c r="E25" s="8"/>
      <x:c r="F25" s="8"/>
      <x:c r="G25" s="8"/>
      <x:c r="H25" s="8"/>
    </x:row>
    <x:row r="26">
      <x:c r="C26" s="8"/>
      <x:c r="D26" s="8"/>
      <x:c r="E26" s="8"/>
      <x:c r="F26" s="8"/>
      <x:c r="G26" s="8"/>
      <x:c r="H26" s="8"/>
    </x:row>
    <x:row r="27">
      <x:c r="C27" s="8"/>
      <x:c r="D27" s="8"/>
      <x:c r="E27" s="8"/>
      <x:c r="F27" s="8"/>
      <x:c r="G27" s="8"/>
      <x:c r="H27" s="8"/>
    </x:row>
    <x:row r="28">
      <x:c r="C28" s="8"/>
      <x:c r="D28" s="8"/>
      <x:c r="E28" s="8"/>
      <x:c r="F28" s="8"/>
      <x:c r="G28" s="8"/>
      <x:c r="H28" s="8"/>
    </x:row>
    <x:row r="29">
      <x:c r="C29" s="8"/>
      <x:c r="D29" s="8"/>
      <x:c r="E29" s="8"/>
      <x:c r="F29" s="8"/>
      <x:c r="G29" s="8"/>
      <x:c r="H29" s="8"/>
    </x:row>
    <x:row r="30">
      <x:c r="C30" s="8"/>
      <x:c r="D30" s="8"/>
      <x:c r="E30" s="8"/>
      <x:c r="F30" s="8"/>
      <x:c r="G30" s="8"/>
      <x:c r="H30" s="8"/>
    </x:row>
    <x:row r="31">
      <x:c r="C31" s="8"/>
      <x:c r="D31" s="8"/>
      <x:c r="E31" s="8"/>
      <x:c r="F31" s="8"/>
      <x:c r="G31" s="8"/>
      <x:c r="H31" s="8"/>
    </x:row>
    <x:row r="32">
      <x:c r="C32" s="8"/>
      <x:c r="D32" s="8"/>
      <x:c r="E32" s="8"/>
      <x:c r="F32" s="8"/>
      <x:c r="G32" s="8"/>
      <x:c r="H32" s="8"/>
    </x:row>
    <x:row r="33">
      <x:c r="C33" s="8"/>
      <x:c r="D33" s="8"/>
      <x:c r="E33" s="8"/>
      <x:c r="F33" s="8"/>
      <x:c r="G33" s="8"/>
      <x:c r="H33" s="8"/>
    </x:row>
    <x:row r="34">
      <x:c r="C34" s="8"/>
      <x:c r="D34" s="8"/>
      <x:c r="E34" s="8"/>
      <x:c r="F34" s="8"/>
      <x:c r="G34" s="8"/>
      <x:c r="H34" s="8"/>
    </x:row>
    <x:row r="35">
      <x:c r="C35" s="8"/>
      <x:c r="D35" s="8"/>
      <x:c r="E35" s="8"/>
      <x:c r="F35" s="8"/>
      <x:c r="G35" s="8"/>
      <x:c r="H35" s="8"/>
    </x:row>
    <x:row r="36">
      <x:c r="C36" s="8"/>
      <x:c r="D36" s="8"/>
      <x:c r="E36" s="8"/>
      <x:c r="F36" s="8"/>
      <x:c r="G36" s="8"/>
      <x:c r="H36" s="8"/>
    </x:row>
    <x:row r="37">
      <x:c r="C37" s="8"/>
      <x:c r="D37" s="8"/>
      <x:c r="E37" s="8"/>
      <x:c r="F37" s="8"/>
      <x:c r="G37" s="8"/>
      <x:c r="H37" s="8"/>
    </x:row>
    <x:row r="38">
      <x:c r="C38" s="8"/>
      <x:c r="D38" s="8"/>
      <x:c r="E38" s="8"/>
      <x:c r="F38" s="8"/>
      <x:c r="G38" s="8"/>
      <x:c r="H38" s="8"/>
    </x:row>
    <x:row r="39">
      <x:c r="C39" s="8"/>
      <x:c r="D39" s="8"/>
      <x:c r="E39" s="8"/>
      <x:c r="F39" s="8"/>
      <x:c r="G39" s="8"/>
      <x:c r="H39" s="8"/>
    </x:row>
    <x:row r="40">
      <x:c r="C40" s="8"/>
      <x:c r="D40" s="8"/>
      <x:c r="E40" s="8"/>
      <x:c r="F40" s="8"/>
      <x:c r="G40" s="8"/>
      <x:c r="H40" s="8"/>
    </x:row>
    <x:row r="41">
      <x:c r="C41" s="8"/>
      <x:c r="D41" s="8"/>
      <x:c r="E41" s="8"/>
      <x:c r="F41" s="8"/>
      <x:c r="G41" s="8"/>
      <x:c r="H41" s="8"/>
    </x:row>
    <x:row r="42">
      <x:c r="C42" s="8"/>
      <x:c r="D42" s="8"/>
      <x:c r="E42" s="8"/>
      <x:c r="F42" s="8"/>
      <x:c r="G42" s="8"/>
      <x:c r="H42" s="8"/>
    </x:row>
    <x:row r="43">
      <x:c r="C43" s="8"/>
      <x:c r="D43" s="8"/>
      <x:c r="E43" s="8"/>
      <x:c r="F43" s="8"/>
      <x:c r="G43" s="8"/>
      <x:c r="H43" s="8"/>
    </x:row>
    <x:row r="44">
      <x:c r="C44" s="8"/>
      <x:c r="D44" s="8"/>
      <x:c r="E44" s="8"/>
      <x:c r="F44" s="8"/>
      <x:c r="G44" s="8"/>
      <x:c r="H44" s="8"/>
    </x:row>
    <x:row r="45">
      <x:c r="C45" s="8"/>
      <x:c r="D45" s="8"/>
      <x:c r="E45" s="8"/>
      <x:c r="F45" s="8"/>
      <x:c r="G45" s="8"/>
      <x:c r="H45" s="8"/>
    </x:row>
    <x:row r="46">
      <x:c r="C46" s="8"/>
      <x:c r="D46" s="8"/>
      <x:c r="E46" s="8"/>
      <x:c r="F46" s="8"/>
      <x:c r="G46" s="8"/>
      <x:c r="H46" s="8"/>
    </x:row>
    <x:row r="47">
      <x:c r="C47" s="8"/>
      <x:c r="D47" s="8"/>
      <x:c r="E47" s="8"/>
      <x:c r="F47" s="8"/>
      <x:c r="G47" s="8"/>
      <x:c r="H47" s="8"/>
    </x:row>
    <x:row r="48">
      <x:c r="C48" s="8"/>
      <x:c r="D48" s="8"/>
      <x:c r="E48" s="8"/>
      <x:c r="F48" s="8"/>
      <x:c r="G48" s="8"/>
      <x:c r="H48" s="8"/>
    </x:row>
    <x:row r="49">
      <x:c r="C49" s="8"/>
      <x:c r="D49" s="8"/>
      <x:c r="E49" s="8"/>
      <x:c r="F49" s="8"/>
      <x:c r="G49" s="8"/>
      <x:c r="H49" s="8"/>
    </x:row>
    <x:row r="50">
      <x:c r="C50" s="8"/>
      <x:c r="D50" s="8"/>
      <x:c r="E50" s="8"/>
      <x:c r="F50" s="8"/>
      <x:c r="G50" s="8"/>
      <x:c r="H50" s="8"/>
    </x:row>
    <x:row r="51">
      <x:c r="C51" s="8"/>
      <x:c r="D51" s="8"/>
      <x:c r="E51" s="8"/>
      <x:c r="F51" s="8"/>
      <x:c r="G51" s="8"/>
      <x:c r="H51" s="8"/>
    </x:row>
    <x:row r="52">
      <x:c r="C52" s="8"/>
      <x:c r="D52" s="8"/>
      <x:c r="E52" s="8"/>
      <x:c r="F52" s="8"/>
      <x:c r="G52" s="8"/>
      <x:c r="H52" s="8"/>
    </x:row>
    <x:row r="53">
      <x:c r="C53" s="8"/>
      <x:c r="D53" s="8"/>
      <x:c r="E53" s="8"/>
      <x:c r="F53" s="8"/>
      <x:c r="G53" s="8"/>
      <x:c r="H53" s="8"/>
    </x:row>
    <x:row r="54">
      <x:c r="C54" s="8"/>
      <x:c r="D54" s="8"/>
      <x:c r="E54" s="8"/>
      <x:c r="F54" s="8"/>
      <x:c r="G54" s="8"/>
      <x:c r="H54" s="8"/>
    </x:row>
    <x:row r="55">
      <x:c r="C55" s="8"/>
      <x:c r="D55" s="8"/>
      <x:c r="E55" s="8"/>
      <x:c r="F55" s="8"/>
      <x:c r="G55" s="8"/>
      <x:c r="H55" s="8"/>
    </x:row>
    <x:row r="56">
      <x:c r="C56" s="8"/>
      <x:c r="D56" s="8"/>
      <x:c r="E56" s="8"/>
      <x:c r="F56" s="8"/>
      <x:c r="G56" s="8"/>
      <x:c r="H56" s="8"/>
    </x:row>
    <x:row r="57">
      <x:c r="C57" s="8"/>
      <x:c r="D57" s="8"/>
      <x:c r="E57" s="8"/>
      <x:c r="F57" s="8"/>
      <x:c r="G57" s="8"/>
      <x:c r="H57" s="8"/>
    </x:row>
    <x:row r="58">
      <x:c r="C58" s="8"/>
      <x:c r="D58" s="8"/>
      <x:c r="E58" s="8"/>
      <x:c r="F58" s="8"/>
      <x:c r="G58" s="8"/>
      <x:c r="H58" s="8"/>
    </x:row>
    <x:row r="59">
      <x:c r="C59" s="8"/>
      <x:c r="D59" s="8"/>
      <x:c r="E59" s="8"/>
      <x:c r="F59" s="8"/>
      <x:c r="G59" s="8"/>
      <x:c r="H59" s="8"/>
    </x:row>
    <x:row r="60">
      <x:c r="C60" s="8"/>
      <x:c r="D60" s="8"/>
      <x:c r="E60" s="8"/>
      <x:c r="F60" s="8"/>
      <x:c r="G60" s="8"/>
      <x:c r="H60" s="8"/>
    </x:row>
  </x:sheetData>
  <x:pageMargins left="0.7" right="0.7" top="0.75" bottom="0.75" header="0.3" footer="0.3"/>
</x:worksheet>
</file>